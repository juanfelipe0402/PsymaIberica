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is B · 15 targets" sheetId="1" state="visible" r:id="rId1"/>
    <sheet name="Tesis A · 15 targets" sheetId="2" state="visible" r:id="rId2"/>
    <sheet name="Tesis B · Top 5" sheetId="3" state="visible" r:id="rId3"/>
    <sheet name="Tesis A · Top 5" sheetId="4" state="visible" r:id="rId4"/>
    <sheet name="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0%;[Red]-0.00%;-"/>
    <numFmt numFmtId="166" formatCode="0.0&quot;x&quot;"/>
  </numFmts>
  <fonts count="16">
    <font>
      <name val="Calibri"/>
      <family val="2"/>
      <color theme="1"/>
      <sz val="11"/>
      <scheme val="minor"/>
    </font>
    <font>
      <name val="Arial"/>
      <b val="1"/>
      <color rgb="0014233C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14233C"/>
      <sz val="13"/>
    </font>
    <font>
      <name val="Arial"/>
      <i val="1"/>
      <color rgb="0056707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00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4233C"/>
      </patternFill>
    </fill>
    <fill>
      <patternFill patternType="solid">
        <fgColor rgb="00FFFF00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C9D1D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65" fontId="8" fillId="0" borderId="1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4" fontId="13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4" fillId="4" borderId="0" pivotButton="0" quotePrefix="0" xfId="0"/>
    <xf numFmtId="164" fontId="14" fillId="4" borderId="0" pivotButton="0" quotePrefix="0" xfId="0"/>
    <xf numFmtId="165" fontId="14" fillId="4" borderId="0" pivotButton="0" quotePrefix="0" xfId="0"/>
    <xf numFmtId="164" fontId="12" fillId="4" borderId="0" pivotButton="0" quotePrefix="0" xfId="0"/>
    <xf numFmtId="166" fontId="9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2" customWidth="1" min="4" max="4"/>
    <col width="26" customWidth="1" min="5" max="5"/>
    <col width="34" customWidth="1" min="6" max="6"/>
    <col width="13" customWidth="1" min="7" max="7"/>
    <col width="9" customWidth="1" min="8" max="8"/>
    <col width="12" customWidth="1" min="9" max="9"/>
    <col width="13" customWidth="1" min="10" max="10"/>
    <col hidden="1" width="12" customWidth="1" min="11" max="11"/>
  </cols>
  <sheetData>
    <row r="1">
      <c r="A1" s="1" t="inlineStr">
        <is>
          <t>Tesis B · 15 targets (penúltima lámina)</t>
        </is>
      </c>
    </row>
    <row r="2">
      <c r="A2" s="2" t="inlineStr">
        <is>
          <t>Amarillo = dato a completar con SABI (último ejercicio disponible). Azul = dato introducido. Negro = fórmula.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Vertical</t>
        </is>
      </c>
      <c r="D4" s="3" t="inlineStr">
        <is>
          <t>Descripción de servicios</t>
        </is>
      </c>
      <c r="E4" s="3" t="inlineStr">
        <is>
          <t>Especialización</t>
        </is>
      </c>
      <c r="F4" s="3" t="inlineStr">
        <is>
          <t>Accionista / nota</t>
        </is>
      </c>
      <c r="G4" s="3" t="inlineStr">
        <is>
          <t>Ingresos (k€)</t>
        </is>
      </c>
      <c r="H4" s="3" t="inlineStr">
        <is>
          <t>Año dato</t>
        </is>
      </c>
      <c r="I4" s="3" t="inlineStr">
        <is>
          <t>EBITDA (k€)</t>
        </is>
      </c>
      <c r="J4" s="3" t="inlineStr">
        <is>
          <t>Margen EBITDA</t>
        </is>
      </c>
      <c r="K4" s="3" t="inlineStr">
        <is>
          <t>Clave ranking (aux.)</t>
        </is>
      </c>
    </row>
    <row r="5">
      <c r="A5" s="4" t="n">
        <v>1</v>
      </c>
      <c r="B5" s="5" t="inlineStr">
        <is>
          <t>Sigma Dos</t>
        </is>
      </c>
      <c r="C5" s="4" t="inlineStr">
        <is>
          <t>Investigación de mercados</t>
        </is>
      </c>
      <c r="D5" s="4" t="inlineStr">
        <is>
          <t>Encuestas electorales y de opinión; alianza con Dos30' en audiencias</t>
        </is>
      </c>
      <c r="E5" s="4" t="inlineStr">
        <is>
          <t>Opinión pública</t>
        </is>
      </c>
      <c r="F5" s="4" t="inlineStr">
        <is>
          <t>Independiente</t>
        </is>
      </c>
      <c r="G5" s="6" t="n">
        <v>5868</v>
      </c>
      <c r="H5" s="7" t="inlineStr">
        <is>
          <t>2024</t>
        </is>
      </c>
      <c r="I5" s="6" t="n">
        <v>939</v>
      </c>
      <c r="J5" s="8">
        <f>IF(AND(ISNUMBER(G5),ISNUMBER(I5),G5&lt;&gt;0),I5/G5,"n.d.")</f>
        <v/>
      </c>
      <c r="K5" s="9">
        <f>IF(AND(ISNUMBER(I5),I5&gt;0),I5+ROW()/1000000,"")</f>
        <v/>
      </c>
    </row>
    <row r="6">
      <c r="A6" s="4" t="n">
        <v>2</v>
      </c>
      <c r="B6" s="5" t="inlineStr">
        <is>
          <t>Stiga CX</t>
        </is>
      </c>
      <c r="C6" s="4" t="inlineStr">
        <is>
          <t>Reporting y consultoría</t>
        </is>
      </c>
      <c r="D6" s="4" t="inlineStr">
        <is>
          <t>Medición de CX, calidad de servicio, mystery shopping y data</t>
        </is>
      </c>
      <c r="E6" s="4" t="inlineStr">
        <is>
          <t>Experiencia de cliente</t>
        </is>
      </c>
      <c r="F6" s="4" t="inlineStr">
        <is>
          <t>Independiente</t>
        </is>
      </c>
      <c r="G6" s="6" t="n">
        <v>8528</v>
      </c>
      <c r="H6" s="7" t="inlineStr">
        <is>
          <t>2025</t>
        </is>
      </c>
      <c r="I6" s="6" t="n">
        <v>740</v>
      </c>
      <c r="J6" s="8">
        <f>IF(AND(ISNUMBER(G6),ISNUMBER(I6),G6&lt;&gt;0),I6/G6,"n.d.")</f>
        <v/>
      </c>
      <c r="K6" s="9">
        <f>IF(AND(ISNUMBER(I6),I6&gt;0),I6+ROW()/1000000,"")</f>
        <v/>
      </c>
    </row>
    <row r="7">
      <c r="A7" s="4" t="n">
        <v>3</v>
      </c>
      <c r="B7" s="5" t="inlineStr">
        <is>
          <t>Epsilon Technologies</t>
        </is>
      </c>
      <c r="C7" s="4" t="inlineStr">
        <is>
          <t>Empresas tecnológicas</t>
        </is>
      </c>
      <c r="D7" s="4" t="inlineStr">
        <is>
          <t>Big data y analítica de redes sociales para marcas</t>
        </is>
      </c>
      <c r="E7" s="4" t="inlineStr">
        <is>
          <t>Social listening</t>
        </is>
      </c>
      <c r="F7" s="4" t="inlineStr">
        <is>
          <t>Independiente</t>
        </is>
      </c>
      <c r="G7" s="6" t="n">
        <v>3135</v>
      </c>
      <c r="H7" s="7" t="inlineStr">
        <is>
          <t>2024</t>
        </is>
      </c>
      <c r="I7" s="6" t="n">
        <v>452</v>
      </c>
      <c r="J7" s="8">
        <f>IF(AND(ISNUMBER(G7),ISNUMBER(I7),G7&lt;&gt;0),I7/G7,"n.d.")</f>
        <v/>
      </c>
      <c r="K7" s="9">
        <f>IF(AND(ISNUMBER(I7),I7&gt;0),I7+ROW()/1000000,"")</f>
        <v/>
      </c>
    </row>
    <row r="8">
      <c r="A8" s="4" t="n">
        <v>4</v>
      </c>
      <c r="B8" s="5" t="inlineStr">
        <is>
          <t>InfoAdex</t>
        </is>
      </c>
      <c r="C8" s="4" t="inlineStr">
        <is>
          <t>Empresas tecnológicas</t>
        </is>
      </c>
      <c r="D8" s="4" t="inlineStr">
        <is>
          <t>Referencia en el control de la inversión publicitaria en España</t>
        </is>
      </c>
      <c r="E8" s="4" t="inlineStr">
        <is>
          <t>Ad intelligence</t>
        </is>
      </c>
      <c r="F8" s="4" t="inlineStr">
        <is>
          <t>Verificar accionista</t>
        </is>
      </c>
      <c r="G8" s="6" t="n">
        <v>3740</v>
      </c>
      <c r="H8" s="7" t="inlineStr">
        <is>
          <t>2025</t>
        </is>
      </c>
      <c r="I8" s="6" t="n">
        <v>345</v>
      </c>
      <c r="J8" s="8">
        <f>IF(AND(ISNUMBER(G8),ISNUMBER(I8),G8&lt;&gt;0),I8/G8,"n.d.")</f>
        <v/>
      </c>
      <c r="K8" s="9">
        <f>IF(AND(ISNUMBER(I8),I8&gt;0),I8+ROW()/1000000,"")</f>
        <v/>
      </c>
    </row>
    <row r="9">
      <c r="A9" s="4" t="n">
        <v>5</v>
      </c>
      <c r="B9" s="5" t="inlineStr">
        <is>
          <t>We Are Testers</t>
        </is>
      </c>
      <c r="C9" s="4" t="inlineStr">
        <is>
          <t>Empresas tecnológicas</t>
        </is>
      </c>
      <c r="D9" s="4" t="inlineStr">
        <is>
          <t>Plataforma de UX research con panel propio de testers</t>
        </is>
      </c>
      <c r="E9" s="4" t="inlineStr">
        <is>
          <t>UX research y panel</t>
        </is>
      </c>
      <c r="F9" s="4" t="inlineStr">
        <is>
          <t>Independiente</t>
        </is>
      </c>
      <c r="G9" s="6" t="n">
        <v>1292</v>
      </c>
      <c r="H9" s="7" t="inlineStr">
        <is>
          <t>2024</t>
        </is>
      </c>
      <c r="I9" s="6" t="n">
        <v>292</v>
      </c>
      <c r="J9" s="8">
        <f>IF(AND(ISNUMBER(G9),ISNUMBER(I9),G9&lt;&gt;0),I9/G9,"n.d.")</f>
        <v/>
      </c>
      <c r="K9" s="9">
        <f>IF(AND(ISNUMBER(I9),I9&gt;0),I9+ROW()/1000000,"")</f>
        <v/>
      </c>
    </row>
    <row r="10">
      <c r="A10" s="4" t="n">
        <v>6</v>
      </c>
      <c r="B10" s="5" t="inlineStr">
        <is>
          <t>Dos30'</t>
        </is>
      </c>
      <c r="C10" s="4" t="inlineStr">
        <is>
          <t>Reporting y consultoría</t>
        </is>
      </c>
      <c r="D10" s="4" t="inlineStr">
        <is>
          <t>Análisis de audiencias de TV y plataformas; alianza con Sigma Dos</t>
        </is>
      </c>
      <c r="E10" s="4" t="inlineStr">
        <is>
          <t>Medición de audiencias</t>
        </is>
      </c>
      <c r="F10" s="4" t="inlineStr">
        <is>
          <t>Sociedad: Breaking Ratings SL</t>
        </is>
      </c>
      <c r="G10" s="6" t="n">
        <v>736</v>
      </c>
      <c r="H10" s="7" t="inlineStr">
        <is>
          <t>2025</t>
        </is>
      </c>
      <c r="I10" s="6" t="n">
        <v>197</v>
      </c>
      <c r="J10" s="8">
        <f>IF(AND(ISNUMBER(G10),ISNUMBER(I10),G10&lt;&gt;0),I10/G10,"n.d.")</f>
        <v/>
      </c>
      <c r="K10" s="9">
        <f>IF(AND(ISNUMBER(I10),I10&gt;0),I10+ROW()/1000000,"")</f>
        <v/>
      </c>
    </row>
    <row r="11">
      <c r="A11" s="4" t="n">
        <v>7</v>
      </c>
      <c r="B11" s="5" t="inlineStr">
        <is>
          <t>GAD3</t>
        </is>
      </c>
      <c r="C11" s="4" t="inlineStr">
        <is>
          <t>Investigación de mercados</t>
        </is>
      </c>
      <c r="D11" s="4" t="inlineStr">
        <is>
          <t>Investigación social, electoral y de opinión para medios e instituciones</t>
        </is>
      </c>
      <c r="E11" s="4" t="inlineStr">
        <is>
          <t>Opinión e instituciones</t>
        </is>
      </c>
      <c r="F11" s="4" t="inlineStr">
        <is>
          <t>Independiente</t>
        </is>
      </c>
      <c r="G11" s="6" t="n">
        <v>1958</v>
      </c>
      <c r="H11" s="7" t="inlineStr">
        <is>
          <t>2024</t>
        </is>
      </c>
      <c r="I11" s="6" t="n">
        <v>161</v>
      </c>
      <c r="J11" s="8">
        <f>IF(AND(ISNUMBER(G11),ISNUMBER(I11),G11&lt;&gt;0),I11/G11,"n.d.")</f>
        <v/>
      </c>
      <c r="K11" s="9">
        <f>IF(AND(ISNUMBER(I11),I11&gt;0),I11+ROW()/1000000,"")</f>
        <v/>
      </c>
    </row>
    <row r="12">
      <c r="A12" s="4" t="n">
        <v>8</v>
      </c>
      <c r="B12" s="5" t="inlineStr">
        <is>
          <t>Auditmedia Group</t>
        </is>
      </c>
      <c r="C12" s="4" t="inlineStr">
        <is>
          <t>Empresas tecnológicas</t>
        </is>
      </c>
      <c r="D12" s="4" t="inlineStr">
        <is>
          <t>Clipping y análisis en prensa, digital, audiovisual y redes</t>
        </is>
      </c>
      <c r="E12" s="4" t="inlineStr">
        <is>
          <t>Monitorización de medios</t>
        </is>
      </c>
      <c r="F12" s="4" t="inlineStr">
        <is>
          <t>Sociedad: Auditoría de Medios SL</t>
        </is>
      </c>
      <c r="G12" s="6" t="n">
        <v>2876</v>
      </c>
      <c r="H12" s="7" t="inlineStr">
        <is>
          <t>2025</t>
        </is>
      </c>
      <c r="I12" s="6" t="n">
        <v>103</v>
      </c>
      <c r="J12" s="8">
        <f>IF(AND(ISNUMBER(G12),ISNUMBER(I12),G12&lt;&gt;0),I12/G12,"n.d.")</f>
        <v/>
      </c>
      <c r="K12" s="9">
        <f>IF(AND(ISNUMBER(I12),I12&gt;0),I12+ROW()/1000000,"")</f>
        <v/>
      </c>
    </row>
    <row r="13">
      <c r="A13" s="4" t="n">
        <v>9</v>
      </c>
      <c r="B13" s="5" t="inlineStr">
        <is>
          <t>IMOP Insights</t>
        </is>
      </c>
      <c r="C13" s="4" t="inlineStr">
        <is>
          <t>Investigación de mercados</t>
        </is>
      </c>
      <c r="D13" s="4" t="inlineStr">
        <is>
          <t>Investigación social y de consumo; socio de I+A España</t>
        </is>
      </c>
      <c r="E13" s="4" t="inlineStr">
        <is>
          <t>Social y consumo</t>
        </is>
      </c>
      <c r="F13" s="4" t="inlineStr">
        <is>
          <t>Independiente</t>
        </is>
      </c>
      <c r="G13" s="6" t="n">
        <v>2699</v>
      </c>
      <c r="H13" s="7" t="inlineStr">
        <is>
          <t>2024</t>
        </is>
      </c>
      <c r="I13" s="6" t="n">
        <v>70</v>
      </c>
      <c r="J13" s="8">
        <f>IF(AND(ISNUMBER(G13),ISNUMBER(I13),G13&lt;&gt;0),I13/G13,"n.d.")</f>
        <v/>
      </c>
      <c r="K13" s="9">
        <f>IF(AND(ISNUMBER(I13),I13&gt;0),I13+ROW()/1000000,"")</f>
        <v/>
      </c>
    </row>
    <row r="14">
      <c r="A14" s="4" t="n">
        <v>10</v>
      </c>
      <c r="B14" s="5" t="inlineStr">
        <is>
          <t>Random Strategy</t>
        </is>
      </c>
      <c r="C14" s="4" t="inlineStr">
        <is>
          <t>Reporting y consultoría</t>
        </is>
      </c>
      <c r="D14" s="4" t="inlineStr">
        <is>
          <t>Investigación y consultoría con trackings continuos y equipo senior</t>
        </is>
      </c>
      <c r="E14" s="4" t="inlineStr">
        <is>
          <t>Trackings de marca</t>
        </is>
      </c>
      <c r="F14" s="4" t="inlineStr">
        <is>
          <t>Capital de sus directivos</t>
        </is>
      </c>
      <c r="G14" s="6" t="n">
        <v>1356</v>
      </c>
      <c r="H14" s="7" t="inlineStr">
        <is>
          <t>2024</t>
        </is>
      </c>
      <c r="I14" s="6" t="n">
        <v>69</v>
      </c>
      <c r="J14" s="8">
        <f>IF(AND(ISNUMBER(G14),ISNUMBER(I14),G14&lt;&gt;0),I14/G14,"n.d.")</f>
        <v/>
      </c>
      <c r="K14" s="9">
        <f>IF(AND(ISNUMBER(I14),I14&gt;0),I14+ROW()/1000000,"")</f>
        <v/>
      </c>
    </row>
    <row r="15">
      <c r="A15" s="4" t="n">
        <v>11</v>
      </c>
      <c r="B15" s="5" t="inlineStr">
        <is>
          <t>Ikerfel</t>
        </is>
      </c>
      <c r="C15" s="4" t="inlineStr">
        <is>
          <t>Investigación de mercados</t>
        </is>
      </c>
      <c r="D15" s="4" t="inlineStr">
        <is>
          <t>Investigación de mercados y estrategia; más de 7.000 estudios</t>
        </is>
      </c>
      <c r="E15" s="4" t="inlineStr">
        <is>
          <t>Consumo y utilities</t>
        </is>
      </c>
      <c r="F15" s="4" t="inlineStr">
        <is>
          <t>Independiente</t>
        </is>
      </c>
      <c r="G15" s="6" t="n">
        <v>4335</v>
      </c>
      <c r="H15" s="7" t="inlineStr">
        <is>
          <t>2025</t>
        </is>
      </c>
      <c r="I15" s="6" t="n">
        <v>13</v>
      </c>
      <c r="J15" s="8">
        <f>IF(AND(ISNUMBER(G15),ISNUMBER(I15),G15&lt;&gt;0),I15/G15,"n.d.")</f>
        <v/>
      </c>
      <c r="K15" s="9">
        <f>IF(AND(ISNUMBER(I15),I15&gt;0),I15+ROW()/1000000,"")</f>
        <v/>
      </c>
    </row>
    <row r="16">
      <c r="A16" s="4" t="n">
        <v>12</v>
      </c>
      <c r="B16" s="5" t="inlineStr">
        <is>
          <t>IO Investigación</t>
        </is>
      </c>
      <c r="C16" s="4" t="inlineStr">
        <is>
          <t>Investigación de mercados</t>
        </is>
      </c>
      <c r="D16" s="4" t="inlineStr">
        <is>
          <t>Mayor instituto independiente español; telco, electrónica de consumo y banca</t>
        </is>
      </c>
      <c r="E16" s="4" t="inlineStr">
        <is>
          <t>Telco y finanzas</t>
        </is>
      </c>
      <c r="F16" s="4" t="inlineStr">
        <is>
          <t>Independiente · EBITDA negativo</t>
        </is>
      </c>
      <c r="G16" s="6" t="n">
        <v>9903</v>
      </c>
      <c r="H16" s="7" t="inlineStr">
        <is>
          <t>2024</t>
        </is>
      </c>
      <c r="I16" s="6" t="n">
        <v>-82</v>
      </c>
      <c r="J16" s="8">
        <f>IF(AND(ISNUMBER(G16),ISNUMBER(I16),G16&lt;&gt;0),I16/G16,"n.d.")</f>
        <v/>
      </c>
      <c r="K16" s="9">
        <f>IF(AND(ISNUMBER(I16),I16&gt;0),I16+ROW()/1000000,"")</f>
        <v/>
      </c>
    </row>
    <row r="17">
      <c r="A17" s="4" t="n">
        <v>13</v>
      </c>
      <c r="B17" s="5" t="inlineStr">
        <is>
          <t>Análisis e Investigación</t>
        </is>
      </c>
      <c r="C17" s="4" t="inlineStr">
        <is>
          <t>Reporting y consultoría</t>
        </is>
      </c>
      <c r="D17" s="4" t="inlineStr">
        <is>
          <t>Investigación y reporting de reputación corporativa (Merco)</t>
        </is>
      </c>
      <c r="E17" s="4" t="inlineStr">
        <is>
          <t>Reputación corporativa</t>
        </is>
      </c>
      <c r="F17" s="4" t="inlineStr">
        <is>
          <t>Sin datos en SABI (n.d.)</t>
        </is>
      </c>
      <c r="G17" s="10" t="n"/>
      <c r="H17" s="11" t="n"/>
      <c r="I17" s="10" t="n"/>
      <c r="J17" s="8">
        <f>IF(AND(ISNUMBER(G17),ISNUMBER(I17),G17&lt;&gt;0),I17/G17,"n.d.")</f>
        <v/>
      </c>
      <c r="K17" s="9">
        <f>IF(AND(ISNUMBER(I17),I17&gt;0),I17+ROW()/1000000,"")</f>
        <v/>
      </c>
    </row>
    <row r="18">
      <c r="A18" s="4" t="n">
        <v>14</v>
      </c>
      <c r="B18" s="5" t="inlineStr">
        <is>
          <t>IEXP</t>
        </is>
      </c>
      <c r="C18" s="4" t="inlineStr">
        <is>
          <t>Reporting y consultoría</t>
        </is>
      </c>
      <c r="D18" s="4" t="inlineStr">
        <is>
          <t>Medición y consultoría de experiencia de paciente</t>
        </is>
      </c>
      <c r="E18" s="4" t="inlineStr">
        <is>
          <t>Experiencia de paciente</t>
        </is>
      </c>
      <c r="F18" s="4" t="inlineStr">
        <is>
          <t>Sin datos en SABI (n.d.)</t>
        </is>
      </c>
      <c r="G18" s="10" t="n"/>
      <c r="H18" s="11" t="n"/>
      <c r="I18" s="10" t="n"/>
      <c r="J18" s="8">
        <f>IF(AND(ISNUMBER(G18),ISNUMBER(I18),G18&lt;&gt;0),I18/G18,"n.d.")</f>
        <v/>
      </c>
      <c r="K18" s="9">
        <f>IF(AND(ISNUMBER(I18),I18&gt;0),I18+ROW()/1000000,"")</f>
        <v/>
      </c>
    </row>
    <row r="19">
      <c r="A19" s="4" t="n">
        <v>15</v>
      </c>
      <c r="B19" s="5" t="inlineStr">
        <is>
          <t>Arce Media</t>
        </is>
      </c>
      <c r="C19" s="4" t="inlineStr">
        <is>
          <t>Empresas tecnológicas</t>
        </is>
      </c>
      <c r="D19" s="4" t="inlineStr">
        <is>
          <t>Control de la actividad publicitaria</t>
        </is>
      </c>
      <c r="E19" s="4" t="inlineStr">
        <is>
          <t>Ad intelligence</t>
        </is>
      </c>
      <c r="F19" s="4" t="inlineStr">
        <is>
          <t>Datos SABI pendientes</t>
        </is>
      </c>
      <c r="G19" s="10" t="n"/>
      <c r="H19" s="11" t="n"/>
      <c r="I19" s="10" t="n"/>
      <c r="J19" s="8">
        <f>IF(AND(ISNUMBER(G19),ISNUMBER(I19),G19&lt;&gt;0),I19/G19,"n.d.")</f>
        <v/>
      </c>
      <c r="K19" s="9">
        <f>IF(AND(ISNUMBER(I19),I19&gt;0),I19+ROW()/1000000,"")</f>
        <v/>
      </c>
    </row>
    <row r="20">
      <c r="B20" s="12" t="inlineStr">
        <is>
          <t>Total (con dato)</t>
        </is>
      </c>
      <c r="G20" s="13">
        <f>SUM(G5:G19)</f>
        <v/>
      </c>
      <c r="I20" s="13">
        <f>SUM(I5:I19)</f>
        <v/>
      </c>
      <c r="J20" s="14">
        <f>IF(G20&lt;&gt;0,I20/G20,"n.d.")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2" customWidth="1" min="4" max="4"/>
    <col width="26" customWidth="1" min="5" max="5"/>
    <col width="34" customWidth="1" min="6" max="6"/>
    <col width="13" customWidth="1" min="7" max="7"/>
    <col width="9" customWidth="1" min="8" max="8"/>
    <col width="12" customWidth="1" min="9" max="9"/>
    <col width="13" customWidth="1" min="10" max="10"/>
    <col hidden="1" width="12" customWidth="1" min="11" max="11"/>
  </cols>
  <sheetData>
    <row r="1">
      <c r="A1" s="1" t="inlineStr">
        <is>
          <t>Tesis A · 15 targets fuera de investigación de mercados (penúltima lámina)</t>
        </is>
      </c>
    </row>
    <row r="2">
      <c r="A2" s="2" t="inlineStr">
        <is>
          <t>Amarillo = dato a completar con SABI (último ejercicio disponible). Azul = dato introducido. Negro = fórmula.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Vertical</t>
        </is>
      </c>
      <c r="D4" s="3" t="inlineStr">
        <is>
          <t>Descripción de servicios</t>
        </is>
      </c>
      <c r="E4" s="3" t="inlineStr">
        <is>
          <t>Especialización</t>
        </is>
      </c>
      <c r="F4" s="3" t="inlineStr">
        <is>
          <t>Accionista / nota</t>
        </is>
      </c>
      <c r="G4" s="3" t="inlineStr">
        <is>
          <t>Ingresos (k€)</t>
        </is>
      </c>
      <c r="H4" s="3" t="inlineStr">
        <is>
          <t>Año dato</t>
        </is>
      </c>
      <c r="I4" s="3" t="inlineStr">
        <is>
          <t>EBITDA (k€)</t>
        </is>
      </c>
      <c r="J4" s="3" t="inlineStr">
        <is>
          <t>Margen EBITDA</t>
        </is>
      </c>
      <c r="K4" s="3" t="inlineStr">
        <is>
          <t>Clave ranking (aux.)</t>
        </is>
      </c>
    </row>
    <row r="5">
      <c r="A5" s="4" t="n">
        <v>1</v>
      </c>
      <c r="B5" s="5" t="inlineStr">
        <is>
          <t>Hygeia Consulting</t>
        </is>
      </c>
      <c r="C5" s="4" t="inlineStr">
        <is>
          <t>2 · Estrategia y consultoría</t>
        </is>
      </c>
      <c r="D5" s="4" t="inlineStr">
        <is>
          <t>Consultoría e investigación aplicada en gestión y evaluación de servicios y políticas sanitarias</t>
        </is>
      </c>
      <c r="E5" s="4" t="inlineStr">
        <is>
          <t>Estrategia en salud</t>
        </is>
      </c>
      <c r="F5" s="4" t="inlineStr">
        <is>
          <t>Independiente (verificar) · Madrid</t>
        </is>
      </c>
      <c r="G5" s="10" t="n"/>
      <c r="H5" s="11" t="n"/>
      <c r="I5" s="10" t="n"/>
      <c r="J5" s="8">
        <f>IF(AND(ISNUMBER(G5),ISNUMBER(I5),G5&lt;&gt;0),I5/G5,"n.d.")</f>
        <v/>
      </c>
      <c r="K5" s="9">
        <f>IF(AND(ISNUMBER(I5),I5&gt;0),I5+ROW()/1000000,"")</f>
        <v/>
      </c>
    </row>
    <row r="6">
      <c r="A6" s="4" t="n">
        <v>2</v>
      </c>
      <c r="B6" s="5" t="inlineStr">
        <is>
          <t>Luzán 5 Health Consulting</t>
        </is>
      </c>
      <c r="C6" s="4" t="inlineStr">
        <is>
          <t>2 · Estrategia y consultoría</t>
        </is>
      </c>
      <c r="D6" s="4" t="inlineStr">
        <is>
          <t>Consultoría en salud y formación médica; empresa familiar desde 1982</t>
        </is>
      </c>
      <c r="E6" s="4" t="inlineStr">
        <is>
          <t>Consultoría + formación</t>
        </is>
      </c>
      <c r="F6" s="4" t="inlineStr">
        <is>
          <t>Familiar · Madrid</t>
        </is>
      </c>
      <c r="G6" s="10" t="n"/>
      <c r="H6" s="11" t="n"/>
      <c r="I6" s="10" t="n"/>
      <c r="J6" s="8">
        <f>IF(AND(ISNUMBER(G6),ISNUMBER(I6),G6&lt;&gt;0),I6/G6,"n.d.")</f>
        <v/>
      </c>
      <c r="K6" s="9">
        <f>IF(AND(ISNUMBER(I6),I6&gt;0),I6+ROW()/1000000,"")</f>
        <v/>
      </c>
    </row>
    <row r="7">
      <c r="A7" s="4" t="n">
        <v>3</v>
      </c>
      <c r="B7" s="5" t="inlineStr">
        <is>
          <t>Mediformplus</t>
        </is>
      </c>
      <c r="C7" s="4" t="inlineStr">
        <is>
          <t>2 · Estrategia y consultoría</t>
        </is>
      </c>
      <c r="D7" s="4" t="inlineStr">
        <is>
          <t>Apoyo a la industria farmacéutica en estrategia comercial y trade marketing</t>
        </is>
      </c>
      <c r="E7" s="4" t="inlineStr">
        <is>
          <t>Estrategia comercial pharma</t>
        </is>
      </c>
      <c r="F7" s="4" t="inlineStr">
        <is>
          <t>Verificar</t>
        </is>
      </c>
      <c r="G7" s="10" t="n"/>
      <c r="H7" s="11" t="n"/>
      <c r="I7" s="10" t="n"/>
      <c r="J7" s="8">
        <f>IF(AND(ISNUMBER(G7),ISNUMBER(I7),G7&lt;&gt;0),I7/G7,"n.d.")</f>
        <v/>
      </c>
      <c r="K7" s="9">
        <f>IF(AND(ISNUMBER(I7),I7&gt;0),I7+ROW()/1000000,"")</f>
        <v/>
      </c>
    </row>
    <row r="8">
      <c r="A8" s="4" t="n">
        <v>4</v>
      </c>
      <c r="B8" s="5" t="inlineStr">
        <is>
          <t>PORIB</t>
        </is>
      </c>
      <c r="C8" s="4" t="inlineStr">
        <is>
          <t>3 · Evidencia (HEOR y RWE)</t>
        </is>
      </c>
      <c r="D8" s="4" t="inlineStr">
        <is>
          <t>HEOR, bioestadística, economía de la salud y market access; desde 2004</t>
        </is>
      </c>
      <c r="E8" s="4" t="inlineStr">
        <is>
          <t>HEOR y market access</t>
        </is>
      </c>
      <c r="F8" s="4" t="inlineStr">
        <is>
          <t>Independiente · Pozuelo (Madrid)</t>
        </is>
      </c>
      <c r="G8" s="10" t="n"/>
      <c r="H8" s="11" t="n"/>
      <c r="I8" s="10" t="n"/>
      <c r="J8" s="8">
        <f>IF(AND(ISNUMBER(G8),ISNUMBER(I8),G8&lt;&gt;0),I8/G8,"n.d.")</f>
        <v/>
      </c>
      <c r="K8" s="9">
        <f>IF(AND(ISNUMBER(I8),I8&gt;0),I8+ROW()/1000000,"")</f>
        <v/>
      </c>
    </row>
    <row r="9">
      <c r="A9" s="4" t="n">
        <v>5</v>
      </c>
      <c r="B9" s="5" t="inlineStr">
        <is>
          <t>Axentiva Solutions</t>
        </is>
      </c>
      <c r="C9" s="4" t="inlineStr">
        <is>
          <t>3 · Evidencia (HEOR y RWE)</t>
        </is>
      </c>
      <c r="D9" s="4" t="inlineStr">
        <is>
          <t>Modelización HEOR y market access; Top 10 HEOR Europa 2023</t>
        </is>
      </c>
      <c r="E9" s="4" t="inlineStr">
        <is>
          <t>HEOR</t>
        </is>
      </c>
      <c r="F9" s="4" t="inlineStr">
        <is>
          <t>Fundador · Barcelona</t>
        </is>
      </c>
      <c r="G9" s="10" t="n"/>
      <c r="H9" s="11" t="n"/>
      <c r="I9" s="10" t="n"/>
      <c r="J9" s="8">
        <f>IF(AND(ISNUMBER(G9),ISNUMBER(I9),G9&lt;&gt;0),I9/G9,"n.d.")</f>
        <v/>
      </c>
      <c r="K9" s="9">
        <f>IF(AND(ISNUMBER(I9),I9&gt;0),I9+ROW()/1000000,"")</f>
        <v/>
      </c>
    </row>
    <row r="10">
      <c r="A10" s="4" t="n">
        <v>6</v>
      </c>
      <c r="B10" s="5" t="inlineStr">
        <is>
          <t>OXON Epidemiology</t>
        </is>
      </c>
      <c r="C10" s="4" t="inlineStr">
        <is>
          <t>3 · Evidencia (HEOR y RWE)</t>
        </is>
      </c>
      <c r="D10" s="4" t="inlineStr">
        <is>
          <t>CRO de evidencia en vida real: estudios observacionales y farmacoepidemiología</t>
        </is>
      </c>
      <c r="E10" s="4" t="inlineStr">
        <is>
          <t>RWE</t>
        </is>
      </c>
      <c r="F10" s="4" t="inlineStr">
        <is>
          <t>Verificar (posible vínculo Syneos) · Madrid</t>
        </is>
      </c>
      <c r="G10" s="10" t="n"/>
      <c r="H10" s="11" t="n"/>
      <c r="I10" s="10" t="n"/>
      <c r="J10" s="8">
        <f>IF(AND(ISNUMBER(G10),ISNUMBER(I10),G10&lt;&gt;0),I10/G10,"n.d.")</f>
        <v/>
      </c>
      <c r="K10" s="9">
        <f>IF(AND(ISNUMBER(I10),I10&gt;0),I10+ROW()/1000000,"")</f>
        <v/>
      </c>
    </row>
    <row r="11">
      <c r="A11" s="4" t="n">
        <v>7</v>
      </c>
      <c r="B11" s="5" t="inlineStr">
        <is>
          <t>Medical Media</t>
        </is>
      </c>
      <c r="C11" s="4" t="inlineStr">
        <is>
          <t>5 · Comunicación médica</t>
        </is>
      </c>
      <c r="D11" s="4" t="inlineStr">
        <is>
          <t>Agencia médica, productora audiovisual y cursos médicos; desde 2004</t>
        </is>
      </c>
      <c r="E11" s="4" t="inlineStr">
        <is>
          <t>Contenido audiovisual médico</t>
        </is>
      </c>
      <c r="F11" s="4" t="inlineStr">
        <is>
          <t>Verificar</t>
        </is>
      </c>
      <c r="G11" s="10" t="n"/>
      <c r="H11" s="11" t="n"/>
      <c r="I11" s="10" t="n"/>
      <c r="J11" s="8">
        <f>IF(AND(ISNUMBER(G11),ISNUMBER(I11),G11&lt;&gt;0),I11/G11,"n.d.")</f>
        <v/>
      </c>
      <c r="K11" s="9">
        <f>IF(AND(ISNUMBER(I11),I11&gt;0),I11+ROW()/1000000,"")</f>
        <v/>
      </c>
    </row>
    <row r="12">
      <c r="A12" s="4" t="n">
        <v>8</v>
      </c>
      <c r="B12" s="5" t="inlineStr">
        <is>
          <t>Get Access Consulting</t>
        </is>
      </c>
      <c r="C12" s="4" t="inlineStr">
        <is>
          <t>4 · Acceso y pricing</t>
        </is>
      </c>
      <c r="D12" s="4" t="inlineStr">
        <is>
          <t>Precio y reembolso, acceso temprano y market access regional</t>
        </is>
      </c>
      <c r="E12" s="4" t="inlineStr">
        <is>
          <t>Pricing y reembolso</t>
        </is>
      </c>
      <c r="F12" s="4" t="inlineStr">
        <is>
          <t>Independiente (verificar)</t>
        </is>
      </c>
      <c r="G12" s="10" t="n"/>
      <c r="H12" s="11" t="n"/>
      <c r="I12" s="10" t="n"/>
      <c r="J12" s="8">
        <f>IF(AND(ISNUMBER(G12),ISNUMBER(I12),G12&lt;&gt;0),I12/G12,"n.d.")</f>
        <v/>
      </c>
      <c r="K12" s="9">
        <f>IF(AND(ISNUMBER(I12),I12&gt;0),I12+ROW()/1000000,"")</f>
        <v/>
      </c>
    </row>
    <row r="13">
      <c r="A13" s="4" t="n">
        <v>9</v>
      </c>
      <c r="B13" s="5" t="inlineStr">
        <is>
          <t>RCAPharma</t>
        </is>
      </c>
      <c r="C13" s="4" t="inlineStr">
        <is>
          <t>4 · Acceso y pricing</t>
        </is>
      </c>
      <c r="D13" s="4" t="inlineStr">
        <is>
          <t>Asesoría regulatoria, farmacovigilancia y acceso al mercado; desde 1991</t>
        </is>
      </c>
      <c r="E13" s="4" t="inlineStr">
        <is>
          <t>Acceso + regulatorio</t>
        </is>
      </c>
      <c r="F13" s="4" t="inlineStr">
        <is>
          <t>Independiente (verificar) · Madrid</t>
        </is>
      </c>
      <c r="G13" s="10" t="n"/>
      <c r="H13" s="11" t="n"/>
      <c r="I13" s="10" t="n"/>
      <c r="J13" s="8">
        <f>IF(AND(ISNUMBER(G13),ISNUMBER(I13),G13&lt;&gt;0),I13/G13,"n.d.")</f>
        <v/>
      </c>
      <c r="K13" s="9">
        <f>IF(AND(ISNUMBER(I13),I13&gt;0),I13+ROW()/1000000,"")</f>
        <v/>
      </c>
    </row>
    <row r="14">
      <c r="A14" s="4" t="n">
        <v>10</v>
      </c>
      <c r="B14" s="5" t="inlineStr">
        <is>
          <t>Ergon</t>
        </is>
      </c>
      <c r="C14" s="4" t="inlineStr">
        <is>
          <t>5 · Comunicación médica</t>
        </is>
      </c>
      <c r="D14" s="4" t="inlineStr">
        <is>
          <t>Comunicación médica y edición científica para la industria farmacéutica</t>
        </is>
      </c>
      <c r="E14" s="4" t="inlineStr">
        <is>
          <t>Contenido científico</t>
        </is>
      </c>
      <c r="F14" s="4" t="inlineStr">
        <is>
          <t>Independiente (verificar) · Madrid</t>
        </is>
      </c>
      <c r="G14" s="10" t="n"/>
      <c r="H14" s="11" t="n"/>
      <c r="I14" s="10" t="n"/>
      <c r="J14" s="8">
        <f>IF(AND(ISNUMBER(G14),ISNUMBER(I14),G14&lt;&gt;0),I14/G14,"n.d.")</f>
        <v/>
      </c>
      <c r="K14" s="9">
        <f>IF(AND(ISNUMBER(I14),I14&gt;0),I14+ROW()/1000000,"")</f>
        <v/>
      </c>
    </row>
    <row r="15">
      <c r="A15" s="4" t="n">
        <v>11</v>
      </c>
      <c r="B15" s="5" t="inlineStr">
        <is>
          <t>Doctaforum</t>
        </is>
      </c>
      <c r="C15" s="4" t="inlineStr">
        <is>
          <t>5 · Comunicación médica</t>
        </is>
      </c>
      <c r="D15" s="4" t="inlineStr">
        <is>
          <t>Comunicación en salud, consultoría científica y eventos médicos; +50 empleados</t>
        </is>
      </c>
      <c r="E15" s="4" t="inlineStr">
        <is>
          <t>Eventos y congresos médicos</t>
        </is>
      </c>
      <c r="F15" s="4" t="inlineStr">
        <is>
          <t>Independiente (verificar) · Madrid</t>
        </is>
      </c>
      <c r="G15" s="10" t="n"/>
      <c r="H15" s="11" t="n"/>
      <c r="I15" s="10" t="n"/>
      <c r="J15" s="8">
        <f>IF(AND(ISNUMBER(G15),ISNUMBER(I15),G15&lt;&gt;0),I15/G15,"n.d.")</f>
        <v/>
      </c>
      <c r="K15" s="9">
        <f>IF(AND(ISNUMBER(I15),I15&gt;0),I15+ROW()/1000000,"")</f>
        <v/>
      </c>
    </row>
    <row r="16">
      <c r="A16" s="4" t="n">
        <v>12</v>
      </c>
      <c r="B16" s="5" t="inlineStr">
        <is>
          <t>Content Ed Net</t>
        </is>
      </c>
      <c r="C16" s="4" t="inlineStr">
        <is>
          <t>5 · Comunicación médica</t>
        </is>
      </c>
      <c r="D16" s="4" t="inlineStr">
        <is>
          <t>Redacción médica y comunicación científica</t>
        </is>
      </c>
      <c r="E16" s="4" t="inlineStr">
        <is>
          <t>Medical writing</t>
        </is>
      </c>
      <c r="F16" s="4" t="inlineStr">
        <is>
          <t>Verificar · Madrid</t>
        </is>
      </c>
      <c r="G16" s="10" t="n"/>
      <c r="H16" s="11" t="n"/>
      <c r="I16" s="10" t="n"/>
      <c r="J16" s="8">
        <f>IF(AND(ISNUMBER(G16),ISNUMBER(I16),G16&lt;&gt;0),I16/G16,"n.d.")</f>
        <v/>
      </c>
      <c r="K16" s="9">
        <f>IF(AND(ISNUMBER(I16),I16&gt;0),I16+ROW()/1000000,"")</f>
        <v/>
      </c>
    </row>
    <row r="17">
      <c r="A17" s="4" t="n">
        <v>13</v>
      </c>
      <c r="B17" s="5" t="inlineStr">
        <is>
          <t>Pulso Ediciones</t>
        </is>
      </c>
      <c r="C17" s="4" t="inlineStr">
        <is>
          <t>5 · Comunicación médica</t>
        </is>
      </c>
      <c r="D17" s="4" t="inlineStr">
        <is>
          <t>Formación médica continuada y edición; desde 1979</t>
        </is>
      </c>
      <c r="E17" s="4" t="inlineStr">
        <is>
          <t>Formación médica continuada</t>
        </is>
      </c>
      <c r="F17" s="4" t="inlineStr">
        <is>
          <t>Verificar · Barcelona</t>
        </is>
      </c>
      <c r="G17" s="10" t="n"/>
      <c r="H17" s="11" t="n"/>
      <c r="I17" s="10" t="n"/>
      <c r="J17" s="8">
        <f>IF(AND(ISNUMBER(G17),ISNUMBER(I17),G17&lt;&gt;0),I17/G17,"n.d.")</f>
        <v/>
      </c>
      <c r="K17" s="9">
        <f>IF(AND(ISNUMBER(I17),I17&gt;0),I17+ROW()/1000000,"")</f>
        <v/>
      </c>
    </row>
    <row r="18">
      <c r="A18" s="4" t="n">
        <v>14</v>
      </c>
      <c r="B18" s="5" t="inlineStr">
        <is>
          <t>Ediciones Mayo</t>
        </is>
      </c>
      <c r="C18" s="4" t="inlineStr">
        <is>
          <t>5 · Comunicación médica</t>
        </is>
      </c>
      <c r="D18" s="4" t="inlineStr">
        <is>
          <t>Edición y comunicación en salud</t>
        </is>
      </c>
      <c r="E18" s="4" t="inlineStr">
        <is>
          <t>Edición médica</t>
        </is>
      </c>
      <c r="F18" s="4" t="inlineStr">
        <is>
          <t>Verificar · Barcelona</t>
        </is>
      </c>
      <c r="G18" s="10" t="n"/>
      <c r="H18" s="11" t="n"/>
      <c r="I18" s="10" t="n"/>
      <c r="J18" s="8">
        <f>IF(AND(ISNUMBER(G18),ISNUMBER(I18),G18&lt;&gt;0),I18/G18,"n.d.")</f>
        <v/>
      </c>
      <c r="K18" s="9">
        <f>IF(AND(ISNUMBER(I18),I18&gt;0),I18+ROW()/1000000,"")</f>
        <v/>
      </c>
    </row>
    <row r="19">
      <c r="A19" s="4" t="n">
        <v>15</v>
      </c>
      <c r="B19" s="5" t="inlineStr">
        <is>
          <t>Esmon Pharma</t>
        </is>
      </c>
      <c r="C19" s="4" t="inlineStr">
        <is>
          <t>5 · Comunicación médica</t>
        </is>
      </c>
      <c r="D19" s="4" t="inlineStr">
        <is>
          <t>Editorial y comunicación médica</t>
        </is>
      </c>
      <c r="E19" s="4" t="inlineStr">
        <is>
          <t>Comunicación médica</t>
        </is>
      </c>
      <c r="F19" s="4" t="inlineStr">
        <is>
          <t>Verificar</t>
        </is>
      </c>
      <c r="G19" s="10" t="n"/>
      <c r="H19" s="11" t="n"/>
      <c r="I19" s="10" t="n"/>
      <c r="J19" s="8">
        <f>IF(AND(ISNUMBER(G19),ISNUMBER(I19),G19&lt;&gt;0),I19/G19,"n.d.")</f>
        <v/>
      </c>
      <c r="K19" s="9">
        <f>IF(AND(ISNUMBER(I19),I19&gt;0),I19+ROW()/1000000,"")</f>
        <v/>
      </c>
    </row>
    <row r="20">
      <c r="B20" s="12" t="inlineStr">
        <is>
          <t>Total (con dato)</t>
        </is>
      </c>
      <c r="G20" s="13">
        <f>SUM(G5:G19)</f>
        <v/>
      </c>
      <c r="I20" s="13">
        <f>SUM(I5:I19)</f>
        <v/>
      </c>
      <c r="J20" s="14">
        <f>IF(G20&lt;&gt;0,I20/G20,"n.d.")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2" customWidth="1" min="4" max="4"/>
    <col width="26" customWidth="1" min="5" max="5"/>
    <col width="13" customWidth="1" min="6" max="6"/>
    <col width="9" customWidth="1" min="7" max="7"/>
    <col width="12" customWidth="1" min="8" max="8"/>
    <col width="13" customWidth="1" min="9" max="9"/>
  </cols>
  <sheetData>
    <row r="1">
      <c r="A1" s="1" t="inlineStr">
        <is>
          <t>Tesis B · Top 5 que maximiza el EV (última lámina)</t>
        </is>
      </c>
    </row>
    <row r="2">
      <c r="A2" s="2" t="inlineStr">
        <is>
          <t>Fuente: SABI (último ejercicio disponible por empresa); webs corporativas. Análisis Afianza.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Vertical</t>
        </is>
      </c>
      <c r="D4" s="3" t="inlineStr">
        <is>
          <t>Descripción de servicios</t>
        </is>
      </c>
      <c r="E4" s="3" t="inlineStr">
        <is>
          <t>Especialización</t>
        </is>
      </c>
      <c r="F4" s="3" t="inlineStr">
        <is>
          <t>Ingresos (k€)</t>
        </is>
      </c>
      <c r="G4" s="3" t="inlineStr">
        <is>
          <t>Año dato</t>
        </is>
      </c>
      <c r="H4" s="3" t="inlineStr">
        <is>
          <t>EBITDA (k€)</t>
        </is>
      </c>
      <c r="I4" s="3" t="inlineStr">
        <is>
          <t>Margen EBITDA</t>
        </is>
      </c>
    </row>
    <row r="5">
      <c r="A5" s="15" t="n">
        <v>1</v>
      </c>
      <c r="B5" s="16">
        <f>IFERROR(INDEX('Tesis B · 15 targets'!$B$5:$B$19,MATCH(LARGE('Tesis B · 15 targets'!$K$5:$K$19,1),'Tesis B · 15 targets'!$K$5:$K$19,0)),"[SABI pendiente]")</f>
        <v/>
      </c>
      <c r="C5" s="17">
        <f>IFERROR(INDEX('Tesis B · 15 targets'!$C$5:$C$19,MATCH(LARGE('Tesis B · 15 targets'!$K$5:$K$19,1),'Tesis B · 15 targets'!$K$5:$K$19,0)),"[SABI pendiente]")</f>
        <v/>
      </c>
      <c r="D5" s="17">
        <f>IFERROR(INDEX('Tesis B · 15 targets'!$D$5:$D$19,MATCH(LARGE('Tesis B · 15 targets'!$K$5:$K$19,1),'Tesis B · 15 targets'!$K$5:$K$19,0)),"[SABI pendiente]")</f>
        <v/>
      </c>
      <c r="E5" s="17">
        <f>IFERROR(INDEX('Tesis B · 15 targets'!$E$5:$E$19,MATCH(LARGE('Tesis B · 15 targets'!$K$5:$K$19,1),'Tesis B · 15 targets'!$K$5:$K$19,0)),"[SABI pendiente]")</f>
        <v/>
      </c>
      <c r="F5" s="18">
        <f>IFERROR(INDEX('Tesis B · 15 targets'!$G$5:$G$19,MATCH(LARGE('Tesis B · 15 targets'!$K$5:$K$19,1),'Tesis B · 15 targets'!$K$5:$K$19,0)),"[SABI pendiente]")</f>
        <v/>
      </c>
      <c r="G5" s="17">
        <f>IFERROR(INDEX('Tesis B · 15 targets'!$H$5:$H$19,MATCH(LARGE('Tesis B · 15 targets'!$K$5:$K$19,1),'Tesis B · 15 targets'!$K$5:$K$19,0)),"[SABI pendiente]")</f>
        <v/>
      </c>
      <c r="H5" s="18">
        <f>IFERROR(INDEX('Tesis B · 15 targets'!$I$5:$I$19,MATCH(LARGE('Tesis B · 15 targets'!$K$5:$K$19,1),'Tesis B · 15 targets'!$K$5:$K$19,0)),"[SABI pendiente]")</f>
        <v/>
      </c>
      <c r="I5" s="19">
        <f>IFERROR(H5/F5,"n.d.")</f>
        <v/>
      </c>
    </row>
    <row r="6">
      <c r="A6" s="15" t="n">
        <v>2</v>
      </c>
      <c r="B6" s="16">
        <f>IFERROR(INDEX('Tesis B · 15 targets'!$B$5:$B$19,MATCH(LARGE('Tesis B · 15 targets'!$K$5:$K$19,2),'Tesis B · 15 targets'!$K$5:$K$19,0)),"[SABI pendiente]")</f>
        <v/>
      </c>
      <c r="C6" s="17">
        <f>IFERROR(INDEX('Tesis B · 15 targets'!$C$5:$C$19,MATCH(LARGE('Tesis B · 15 targets'!$K$5:$K$19,2),'Tesis B · 15 targets'!$K$5:$K$19,0)),"[SABI pendiente]")</f>
        <v/>
      </c>
      <c r="D6" s="17">
        <f>IFERROR(INDEX('Tesis B · 15 targets'!$D$5:$D$19,MATCH(LARGE('Tesis B · 15 targets'!$K$5:$K$19,2),'Tesis B · 15 targets'!$K$5:$K$19,0)),"[SABI pendiente]")</f>
        <v/>
      </c>
      <c r="E6" s="17">
        <f>IFERROR(INDEX('Tesis B · 15 targets'!$E$5:$E$19,MATCH(LARGE('Tesis B · 15 targets'!$K$5:$K$19,2),'Tesis B · 15 targets'!$K$5:$K$19,0)),"[SABI pendiente]")</f>
        <v/>
      </c>
      <c r="F6" s="18">
        <f>IFERROR(INDEX('Tesis B · 15 targets'!$G$5:$G$19,MATCH(LARGE('Tesis B · 15 targets'!$K$5:$K$19,2),'Tesis B · 15 targets'!$K$5:$K$19,0)),"[SABI pendiente]")</f>
        <v/>
      </c>
      <c r="G6" s="17">
        <f>IFERROR(INDEX('Tesis B · 15 targets'!$H$5:$H$19,MATCH(LARGE('Tesis B · 15 targets'!$K$5:$K$19,2),'Tesis B · 15 targets'!$K$5:$K$19,0)),"[SABI pendiente]")</f>
        <v/>
      </c>
      <c r="H6" s="18">
        <f>IFERROR(INDEX('Tesis B · 15 targets'!$I$5:$I$19,MATCH(LARGE('Tesis B · 15 targets'!$K$5:$K$19,2),'Tesis B · 15 targets'!$K$5:$K$19,0)),"[SABI pendiente]")</f>
        <v/>
      </c>
      <c r="I6" s="19">
        <f>IFERROR(H6/F6,"n.d.")</f>
        <v/>
      </c>
    </row>
    <row r="7">
      <c r="A7" s="15" t="n">
        <v>3</v>
      </c>
      <c r="B7" s="16">
        <f>IFERROR(INDEX('Tesis B · 15 targets'!$B$5:$B$19,MATCH(LARGE('Tesis B · 15 targets'!$K$5:$K$19,3),'Tesis B · 15 targets'!$K$5:$K$19,0)),"[SABI pendiente]")</f>
        <v/>
      </c>
      <c r="C7" s="17">
        <f>IFERROR(INDEX('Tesis B · 15 targets'!$C$5:$C$19,MATCH(LARGE('Tesis B · 15 targets'!$K$5:$K$19,3),'Tesis B · 15 targets'!$K$5:$K$19,0)),"[SABI pendiente]")</f>
        <v/>
      </c>
      <c r="D7" s="17">
        <f>IFERROR(INDEX('Tesis B · 15 targets'!$D$5:$D$19,MATCH(LARGE('Tesis B · 15 targets'!$K$5:$K$19,3),'Tesis B · 15 targets'!$K$5:$K$19,0)),"[SABI pendiente]")</f>
        <v/>
      </c>
      <c r="E7" s="17">
        <f>IFERROR(INDEX('Tesis B · 15 targets'!$E$5:$E$19,MATCH(LARGE('Tesis B · 15 targets'!$K$5:$K$19,3),'Tesis B · 15 targets'!$K$5:$K$19,0)),"[SABI pendiente]")</f>
        <v/>
      </c>
      <c r="F7" s="18">
        <f>IFERROR(INDEX('Tesis B · 15 targets'!$G$5:$G$19,MATCH(LARGE('Tesis B · 15 targets'!$K$5:$K$19,3),'Tesis B · 15 targets'!$K$5:$K$19,0)),"[SABI pendiente]")</f>
        <v/>
      </c>
      <c r="G7" s="17">
        <f>IFERROR(INDEX('Tesis B · 15 targets'!$H$5:$H$19,MATCH(LARGE('Tesis B · 15 targets'!$K$5:$K$19,3),'Tesis B · 15 targets'!$K$5:$K$19,0)),"[SABI pendiente]")</f>
        <v/>
      </c>
      <c r="H7" s="18">
        <f>IFERROR(INDEX('Tesis B · 15 targets'!$I$5:$I$19,MATCH(LARGE('Tesis B · 15 targets'!$K$5:$K$19,3),'Tesis B · 15 targets'!$K$5:$K$19,0)),"[SABI pendiente]")</f>
        <v/>
      </c>
      <c r="I7" s="19">
        <f>IFERROR(H7/F7,"n.d.")</f>
        <v/>
      </c>
    </row>
    <row r="8">
      <c r="A8" s="15" t="n">
        <v>4</v>
      </c>
      <c r="B8" s="16">
        <f>IFERROR(INDEX('Tesis B · 15 targets'!$B$5:$B$19,MATCH(LARGE('Tesis B · 15 targets'!$K$5:$K$19,4),'Tesis B · 15 targets'!$K$5:$K$19,0)),"[SABI pendiente]")</f>
        <v/>
      </c>
      <c r="C8" s="17">
        <f>IFERROR(INDEX('Tesis B · 15 targets'!$C$5:$C$19,MATCH(LARGE('Tesis B · 15 targets'!$K$5:$K$19,4),'Tesis B · 15 targets'!$K$5:$K$19,0)),"[SABI pendiente]")</f>
        <v/>
      </c>
      <c r="D8" s="17">
        <f>IFERROR(INDEX('Tesis B · 15 targets'!$D$5:$D$19,MATCH(LARGE('Tesis B · 15 targets'!$K$5:$K$19,4),'Tesis B · 15 targets'!$K$5:$K$19,0)),"[SABI pendiente]")</f>
        <v/>
      </c>
      <c r="E8" s="17">
        <f>IFERROR(INDEX('Tesis B · 15 targets'!$E$5:$E$19,MATCH(LARGE('Tesis B · 15 targets'!$K$5:$K$19,4),'Tesis B · 15 targets'!$K$5:$K$19,0)),"[SABI pendiente]")</f>
        <v/>
      </c>
      <c r="F8" s="18">
        <f>IFERROR(INDEX('Tesis B · 15 targets'!$G$5:$G$19,MATCH(LARGE('Tesis B · 15 targets'!$K$5:$K$19,4),'Tesis B · 15 targets'!$K$5:$K$19,0)),"[SABI pendiente]")</f>
        <v/>
      </c>
      <c r="G8" s="17">
        <f>IFERROR(INDEX('Tesis B · 15 targets'!$H$5:$H$19,MATCH(LARGE('Tesis B · 15 targets'!$K$5:$K$19,4),'Tesis B · 15 targets'!$K$5:$K$19,0)),"[SABI pendiente]")</f>
        <v/>
      </c>
      <c r="H8" s="18">
        <f>IFERROR(INDEX('Tesis B · 15 targets'!$I$5:$I$19,MATCH(LARGE('Tesis B · 15 targets'!$K$5:$K$19,4),'Tesis B · 15 targets'!$K$5:$K$19,0)),"[SABI pendiente]")</f>
        <v/>
      </c>
      <c r="I8" s="19">
        <f>IFERROR(H8/F8,"n.d.")</f>
        <v/>
      </c>
    </row>
    <row r="9">
      <c r="A9" s="15" t="n">
        <v>5</v>
      </c>
      <c r="B9" s="16">
        <f>IFERROR(INDEX('Tesis B · 15 targets'!$B$5:$B$19,MATCH(LARGE('Tesis B · 15 targets'!$K$5:$K$19,5),'Tesis B · 15 targets'!$K$5:$K$19,0)),"[SABI pendiente]")</f>
        <v/>
      </c>
      <c r="C9" s="17">
        <f>IFERROR(INDEX('Tesis B · 15 targets'!$C$5:$C$19,MATCH(LARGE('Tesis B · 15 targets'!$K$5:$K$19,5),'Tesis B · 15 targets'!$K$5:$K$19,0)),"[SABI pendiente]")</f>
        <v/>
      </c>
      <c r="D9" s="17">
        <f>IFERROR(INDEX('Tesis B · 15 targets'!$D$5:$D$19,MATCH(LARGE('Tesis B · 15 targets'!$K$5:$K$19,5),'Tesis B · 15 targets'!$K$5:$K$19,0)),"[SABI pendiente]")</f>
        <v/>
      </c>
      <c r="E9" s="17">
        <f>IFERROR(INDEX('Tesis B · 15 targets'!$E$5:$E$19,MATCH(LARGE('Tesis B · 15 targets'!$K$5:$K$19,5),'Tesis B · 15 targets'!$K$5:$K$19,0)),"[SABI pendiente]")</f>
        <v/>
      </c>
      <c r="F9" s="18">
        <f>IFERROR(INDEX('Tesis B · 15 targets'!$G$5:$G$19,MATCH(LARGE('Tesis B · 15 targets'!$K$5:$K$19,5),'Tesis B · 15 targets'!$K$5:$K$19,0)),"[SABI pendiente]")</f>
        <v/>
      </c>
      <c r="G9" s="17">
        <f>IFERROR(INDEX('Tesis B · 15 targets'!$H$5:$H$19,MATCH(LARGE('Tesis B · 15 targets'!$K$5:$K$19,5),'Tesis B · 15 targets'!$K$5:$K$19,0)),"[SABI pendiente]")</f>
        <v/>
      </c>
      <c r="H9" s="18">
        <f>IFERROR(INDEX('Tesis B · 15 targets'!$I$5:$I$19,MATCH(LARGE('Tesis B · 15 targets'!$K$5:$K$19,5),'Tesis B · 15 targets'!$K$5:$K$19,0)),"[SABI pendiente]")</f>
        <v/>
      </c>
      <c r="I9" s="19">
        <f>IFERROR(H9/F9,"n.d.")</f>
        <v/>
      </c>
    </row>
    <row r="10">
      <c r="B10" s="20" t="inlineStr">
        <is>
          <t>Total 5 adquisiciones</t>
        </is>
      </c>
      <c r="F10" s="21">
        <f>SUM(F5:F9)</f>
        <v/>
      </c>
      <c r="H10" s="21">
        <f>SUM(H5:H9)</f>
        <v/>
      </c>
      <c r="I10" s="22">
        <f>IFERROR(H10/F10,"n.d.")</f>
        <v/>
      </c>
    </row>
    <row r="11">
      <c r="B11" s="20" t="inlineStr">
        <is>
          <t>Psyma Ibérica hoy</t>
        </is>
      </c>
      <c r="F11" s="23">
        <f>Supuestos!B3</f>
        <v/>
      </c>
      <c r="H11" s="23">
        <f>Supuestos!B4</f>
        <v/>
      </c>
      <c r="I11" s="22">
        <f>IFERROR(H11/F11,"n.d.")</f>
        <v/>
      </c>
    </row>
    <row r="12">
      <c r="B12" s="20" t="inlineStr">
        <is>
          <t>Psyma + 5 targets (proforma)</t>
        </is>
      </c>
      <c r="F12" s="21">
        <f>F10+F11</f>
        <v/>
      </c>
      <c r="H12" s="21">
        <f>H10+H11</f>
        <v/>
      </c>
      <c r="I12" s="22">
        <f>IFERROR(H12/F12,"n.d.")</f>
        <v/>
      </c>
    </row>
    <row r="13">
      <c r="B13" s="12" t="inlineStr">
        <is>
          <t>Multiplicador de EBITDA vs Psyma hoy</t>
        </is>
      </c>
      <c r="H13" s="24">
        <f>IFERROR(H12/H11,"n.d.")</f>
        <v/>
      </c>
    </row>
    <row r="15">
      <c r="B15" s="25" t="inlineStr">
        <is>
          <t>Selección automática: las 5 empresas de la lista de 15 con mayor EBITDA positivo. Si cambias un dato en la lista de 15, el top 5 se recalcula.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2" customWidth="1" min="4" max="4"/>
    <col width="26" customWidth="1" min="5" max="5"/>
    <col width="13" customWidth="1" min="6" max="6"/>
    <col width="9" customWidth="1" min="7" max="7"/>
    <col width="12" customWidth="1" min="8" max="8"/>
    <col width="13" customWidth="1" min="9" max="9"/>
  </cols>
  <sheetData>
    <row r="1">
      <c r="A1" s="1" t="inlineStr">
        <is>
          <t>Tesis A · Top 5 que maximiza el EV (última lámina)</t>
        </is>
      </c>
    </row>
    <row r="2">
      <c r="A2" s="2" t="inlineStr">
        <is>
          <t>Se rellena solo al introducir ventas y EBITDA de SABI en la hoja «Tesis A · 15 targets».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Vertical</t>
        </is>
      </c>
      <c r="D4" s="3" t="inlineStr">
        <is>
          <t>Descripción de servicios</t>
        </is>
      </c>
      <c r="E4" s="3" t="inlineStr">
        <is>
          <t>Especialización</t>
        </is>
      </c>
      <c r="F4" s="3" t="inlineStr">
        <is>
          <t>Ingresos (k€)</t>
        </is>
      </c>
      <c r="G4" s="3" t="inlineStr">
        <is>
          <t>Año dato</t>
        </is>
      </c>
      <c r="H4" s="3" t="inlineStr">
        <is>
          <t>EBITDA (k€)</t>
        </is>
      </c>
      <c r="I4" s="3" t="inlineStr">
        <is>
          <t>Margen EBITDA</t>
        </is>
      </c>
    </row>
    <row r="5">
      <c r="A5" s="15" t="n">
        <v>1</v>
      </c>
      <c r="B5" s="16">
        <f>IFERROR(INDEX('Tesis A · 15 targets'!$B$5:$B$19,MATCH(LARGE('Tesis A · 15 targets'!$K$5:$K$19,1),'Tesis A · 15 targets'!$K$5:$K$19,0)),"[SABI pendiente]")</f>
        <v/>
      </c>
      <c r="C5" s="17">
        <f>IFERROR(INDEX('Tesis A · 15 targets'!$C$5:$C$19,MATCH(LARGE('Tesis A · 15 targets'!$K$5:$K$19,1),'Tesis A · 15 targets'!$K$5:$K$19,0)),"[SABI pendiente]")</f>
        <v/>
      </c>
      <c r="D5" s="17">
        <f>IFERROR(INDEX('Tesis A · 15 targets'!$D$5:$D$19,MATCH(LARGE('Tesis A · 15 targets'!$K$5:$K$19,1),'Tesis A · 15 targets'!$K$5:$K$19,0)),"[SABI pendiente]")</f>
        <v/>
      </c>
      <c r="E5" s="17">
        <f>IFERROR(INDEX('Tesis A · 15 targets'!$E$5:$E$19,MATCH(LARGE('Tesis A · 15 targets'!$K$5:$K$19,1),'Tesis A · 15 targets'!$K$5:$K$19,0)),"[SABI pendiente]")</f>
        <v/>
      </c>
      <c r="F5" s="18">
        <f>IFERROR(INDEX('Tesis A · 15 targets'!$G$5:$G$19,MATCH(LARGE('Tesis A · 15 targets'!$K$5:$K$19,1),'Tesis A · 15 targets'!$K$5:$K$19,0)),"[SABI pendiente]")</f>
        <v/>
      </c>
      <c r="G5" s="17">
        <f>IFERROR(INDEX('Tesis A · 15 targets'!$H$5:$H$19,MATCH(LARGE('Tesis A · 15 targets'!$K$5:$K$19,1),'Tesis A · 15 targets'!$K$5:$K$19,0)),"[SABI pendiente]")</f>
        <v/>
      </c>
      <c r="H5" s="18">
        <f>IFERROR(INDEX('Tesis A · 15 targets'!$I$5:$I$19,MATCH(LARGE('Tesis A · 15 targets'!$K$5:$K$19,1),'Tesis A · 15 targets'!$K$5:$K$19,0)),"[SABI pendiente]")</f>
        <v/>
      </c>
      <c r="I5" s="19">
        <f>IFERROR(H5/F5,"n.d.")</f>
        <v/>
      </c>
    </row>
    <row r="6">
      <c r="A6" s="15" t="n">
        <v>2</v>
      </c>
      <c r="B6" s="16">
        <f>IFERROR(INDEX('Tesis A · 15 targets'!$B$5:$B$19,MATCH(LARGE('Tesis A · 15 targets'!$K$5:$K$19,2),'Tesis A · 15 targets'!$K$5:$K$19,0)),"[SABI pendiente]")</f>
        <v/>
      </c>
      <c r="C6" s="17">
        <f>IFERROR(INDEX('Tesis A · 15 targets'!$C$5:$C$19,MATCH(LARGE('Tesis A · 15 targets'!$K$5:$K$19,2),'Tesis A · 15 targets'!$K$5:$K$19,0)),"[SABI pendiente]")</f>
        <v/>
      </c>
      <c r="D6" s="17">
        <f>IFERROR(INDEX('Tesis A · 15 targets'!$D$5:$D$19,MATCH(LARGE('Tesis A · 15 targets'!$K$5:$K$19,2),'Tesis A · 15 targets'!$K$5:$K$19,0)),"[SABI pendiente]")</f>
        <v/>
      </c>
      <c r="E6" s="17">
        <f>IFERROR(INDEX('Tesis A · 15 targets'!$E$5:$E$19,MATCH(LARGE('Tesis A · 15 targets'!$K$5:$K$19,2),'Tesis A · 15 targets'!$K$5:$K$19,0)),"[SABI pendiente]")</f>
        <v/>
      </c>
      <c r="F6" s="18">
        <f>IFERROR(INDEX('Tesis A · 15 targets'!$G$5:$G$19,MATCH(LARGE('Tesis A · 15 targets'!$K$5:$K$19,2),'Tesis A · 15 targets'!$K$5:$K$19,0)),"[SABI pendiente]")</f>
        <v/>
      </c>
      <c r="G6" s="17">
        <f>IFERROR(INDEX('Tesis A · 15 targets'!$H$5:$H$19,MATCH(LARGE('Tesis A · 15 targets'!$K$5:$K$19,2),'Tesis A · 15 targets'!$K$5:$K$19,0)),"[SABI pendiente]")</f>
        <v/>
      </c>
      <c r="H6" s="18">
        <f>IFERROR(INDEX('Tesis A · 15 targets'!$I$5:$I$19,MATCH(LARGE('Tesis A · 15 targets'!$K$5:$K$19,2),'Tesis A · 15 targets'!$K$5:$K$19,0)),"[SABI pendiente]")</f>
        <v/>
      </c>
      <c r="I6" s="19">
        <f>IFERROR(H6/F6,"n.d.")</f>
        <v/>
      </c>
    </row>
    <row r="7">
      <c r="A7" s="15" t="n">
        <v>3</v>
      </c>
      <c r="B7" s="16">
        <f>IFERROR(INDEX('Tesis A · 15 targets'!$B$5:$B$19,MATCH(LARGE('Tesis A · 15 targets'!$K$5:$K$19,3),'Tesis A · 15 targets'!$K$5:$K$19,0)),"[SABI pendiente]")</f>
        <v/>
      </c>
      <c r="C7" s="17">
        <f>IFERROR(INDEX('Tesis A · 15 targets'!$C$5:$C$19,MATCH(LARGE('Tesis A · 15 targets'!$K$5:$K$19,3),'Tesis A · 15 targets'!$K$5:$K$19,0)),"[SABI pendiente]")</f>
        <v/>
      </c>
      <c r="D7" s="17">
        <f>IFERROR(INDEX('Tesis A · 15 targets'!$D$5:$D$19,MATCH(LARGE('Tesis A · 15 targets'!$K$5:$K$19,3),'Tesis A · 15 targets'!$K$5:$K$19,0)),"[SABI pendiente]")</f>
        <v/>
      </c>
      <c r="E7" s="17">
        <f>IFERROR(INDEX('Tesis A · 15 targets'!$E$5:$E$19,MATCH(LARGE('Tesis A · 15 targets'!$K$5:$K$19,3),'Tesis A · 15 targets'!$K$5:$K$19,0)),"[SABI pendiente]")</f>
        <v/>
      </c>
      <c r="F7" s="18">
        <f>IFERROR(INDEX('Tesis A · 15 targets'!$G$5:$G$19,MATCH(LARGE('Tesis A · 15 targets'!$K$5:$K$19,3),'Tesis A · 15 targets'!$K$5:$K$19,0)),"[SABI pendiente]")</f>
        <v/>
      </c>
      <c r="G7" s="17">
        <f>IFERROR(INDEX('Tesis A · 15 targets'!$H$5:$H$19,MATCH(LARGE('Tesis A · 15 targets'!$K$5:$K$19,3),'Tesis A · 15 targets'!$K$5:$K$19,0)),"[SABI pendiente]")</f>
        <v/>
      </c>
      <c r="H7" s="18">
        <f>IFERROR(INDEX('Tesis A · 15 targets'!$I$5:$I$19,MATCH(LARGE('Tesis A · 15 targets'!$K$5:$K$19,3),'Tesis A · 15 targets'!$K$5:$K$19,0)),"[SABI pendiente]")</f>
        <v/>
      </c>
      <c r="I7" s="19">
        <f>IFERROR(H7/F7,"n.d.")</f>
        <v/>
      </c>
    </row>
    <row r="8">
      <c r="A8" s="15" t="n">
        <v>4</v>
      </c>
      <c r="B8" s="16">
        <f>IFERROR(INDEX('Tesis A · 15 targets'!$B$5:$B$19,MATCH(LARGE('Tesis A · 15 targets'!$K$5:$K$19,4),'Tesis A · 15 targets'!$K$5:$K$19,0)),"[SABI pendiente]")</f>
        <v/>
      </c>
      <c r="C8" s="17">
        <f>IFERROR(INDEX('Tesis A · 15 targets'!$C$5:$C$19,MATCH(LARGE('Tesis A · 15 targets'!$K$5:$K$19,4),'Tesis A · 15 targets'!$K$5:$K$19,0)),"[SABI pendiente]")</f>
        <v/>
      </c>
      <c r="D8" s="17">
        <f>IFERROR(INDEX('Tesis A · 15 targets'!$D$5:$D$19,MATCH(LARGE('Tesis A · 15 targets'!$K$5:$K$19,4),'Tesis A · 15 targets'!$K$5:$K$19,0)),"[SABI pendiente]")</f>
        <v/>
      </c>
      <c r="E8" s="17">
        <f>IFERROR(INDEX('Tesis A · 15 targets'!$E$5:$E$19,MATCH(LARGE('Tesis A · 15 targets'!$K$5:$K$19,4),'Tesis A · 15 targets'!$K$5:$K$19,0)),"[SABI pendiente]")</f>
        <v/>
      </c>
      <c r="F8" s="18">
        <f>IFERROR(INDEX('Tesis A · 15 targets'!$G$5:$G$19,MATCH(LARGE('Tesis A · 15 targets'!$K$5:$K$19,4),'Tesis A · 15 targets'!$K$5:$K$19,0)),"[SABI pendiente]")</f>
        <v/>
      </c>
      <c r="G8" s="17">
        <f>IFERROR(INDEX('Tesis A · 15 targets'!$H$5:$H$19,MATCH(LARGE('Tesis A · 15 targets'!$K$5:$K$19,4),'Tesis A · 15 targets'!$K$5:$K$19,0)),"[SABI pendiente]")</f>
        <v/>
      </c>
      <c r="H8" s="18">
        <f>IFERROR(INDEX('Tesis A · 15 targets'!$I$5:$I$19,MATCH(LARGE('Tesis A · 15 targets'!$K$5:$K$19,4),'Tesis A · 15 targets'!$K$5:$K$19,0)),"[SABI pendiente]")</f>
        <v/>
      </c>
      <c r="I8" s="19">
        <f>IFERROR(H8/F8,"n.d.")</f>
        <v/>
      </c>
    </row>
    <row r="9">
      <c r="A9" s="15" t="n">
        <v>5</v>
      </c>
      <c r="B9" s="16">
        <f>IFERROR(INDEX('Tesis A · 15 targets'!$B$5:$B$19,MATCH(LARGE('Tesis A · 15 targets'!$K$5:$K$19,5),'Tesis A · 15 targets'!$K$5:$K$19,0)),"[SABI pendiente]")</f>
        <v/>
      </c>
      <c r="C9" s="17">
        <f>IFERROR(INDEX('Tesis A · 15 targets'!$C$5:$C$19,MATCH(LARGE('Tesis A · 15 targets'!$K$5:$K$19,5),'Tesis A · 15 targets'!$K$5:$K$19,0)),"[SABI pendiente]")</f>
        <v/>
      </c>
      <c r="D9" s="17">
        <f>IFERROR(INDEX('Tesis A · 15 targets'!$D$5:$D$19,MATCH(LARGE('Tesis A · 15 targets'!$K$5:$K$19,5),'Tesis A · 15 targets'!$K$5:$K$19,0)),"[SABI pendiente]")</f>
        <v/>
      </c>
      <c r="E9" s="17">
        <f>IFERROR(INDEX('Tesis A · 15 targets'!$E$5:$E$19,MATCH(LARGE('Tesis A · 15 targets'!$K$5:$K$19,5),'Tesis A · 15 targets'!$K$5:$K$19,0)),"[SABI pendiente]")</f>
        <v/>
      </c>
      <c r="F9" s="18">
        <f>IFERROR(INDEX('Tesis A · 15 targets'!$G$5:$G$19,MATCH(LARGE('Tesis A · 15 targets'!$K$5:$K$19,5),'Tesis A · 15 targets'!$K$5:$K$19,0)),"[SABI pendiente]")</f>
        <v/>
      </c>
      <c r="G9" s="17">
        <f>IFERROR(INDEX('Tesis A · 15 targets'!$H$5:$H$19,MATCH(LARGE('Tesis A · 15 targets'!$K$5:$K$19,5),'Tesis A · 15 targets'!$K$5:$K$19,0)),"[SABI pendiente]")</f>
        <v/>
      </c>
      <c r="H9" s="18">
        <f>IFERROR(INDEX('Tesis A · 15 targets'!$I$5:$I$19,MATCH(LARGE('Tesis A · 15 targets'!$K$5:$K$19,5),'Tesis A · 15 targets'!$K$5:$K$19,0)),"[SABI pendiente]")</f>
        <v/>
      </c>
      <c r="I9" s="19">
        <f>IFERROR(H9/F9,"n.d.")</f>
        <v/>
      </c>
    </row>
    <row r="10">
      <c r="B10" s="20" t="inlineStr">
        <is>
          <t>Total 5 adquisiciones</t>
        </is>
      </c>
      <c r="F10" s="21">
        <f>SUM(F5:F9)</f>
        <v/>
      </c>
      <c r="H10" s="21">
        <f>SUM(H5:H9)</f>
        <v/>
      </c>
      <c r="I10" s="22">
        <f>IFERROR(H10/F10,"n.d.")</f>
        <v/>
      </c>
    </row>
    <row r="11">
      <c r="B11" s="20" t="inlineStr">
        <is>
          <t>Psyma Ibérica hoy</t>
        </is>
      </c>
      <c r="F11" s="23">
        <f>Supuestos!B3</f>
        <v/>
      </c>
      <c r="H11" s="23">
        <f>Supuestos!B4</f>
        <v/>
      </c>
      <c r="I11" s="22">
        <f>IFERROR(H11/F11,"n.d.")</f>
        <v/>
      </c>
    </row>
    <row r="12">
      <c r="B12" s="20" t="inlineStr">
        <is>
          <t>Psyma + 5 targets (proforma)</t>
        </is>
      </c>
      <c r="F12" s="21">
        <f>F10+F11</f>
        <v/>
      </c>
      <c r="H12" s="21">
        <f>H10+H11</f>
        <v/>
      </c>
      <c r="I12" s="22">
        <f>IFERROR(H12/F12,"n.d.")</f>
        <v/>
      </c>
    </row>
    <row r="13">
      <c r="B13" s="12" t="inlineStr">
        <is>
          <t>Multiplicador de EBITDA vs Psyma hoy</t>
        </is>
      </c>
      <c r="H13" s="24">
        <f>IFERROR(H12/H11,"n.d.")</f>
        <v/>
      </c>
    </row>
    <row r="15">
      <c r="B15" s="25" t="inlineStr">
        <is>
          <t>Selección automática: las 5 empresas de la lista de 15 con mayor EBITDA positivo. Si cambias un dato en la lista de 15, el top 5 se recalcula.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>
      <c r="A1" s="26" t="inlineStr">
        <is>
          <t>Supuestos</t>
        </is>
      </c>
    </row>
    <row r="3">
      <c r="A3" s="27" t="inlineStr">
        <is>
          <t>Psyma Ibérica · Ventas 2024 (k€)</t>
        </is>
      </c>
      <c r="B3" s="28" t="n">
        <v>3789</v>
      </c>
      <c r="C3" s="29" t="inlineStr">
        <is>
          <t>Fuente: SABI (tabla de mercado de investigación pharma facilitada por el usuario)</t>
        </is>
      </c>
    </row>
    <row r="4">
      <c r="A4" s="27" t="inlineStr">
        <is>
          <t>Psyma Ibérica · EBITDA 2024 (k€)</t>
        </is>
      </c>
      <c r="B4" s="28" t="n">
        <v>39</v>
      </c>
      <c r="C4" s="29" t="inlineStr">
        <is>
          <t>Fuente: SABI (tabla de mercado de investigación pharma facilitada por el usuario)</t>
        </is>
      </c>
    </row>
    <row r="6">
      <c r="A6" s="27" t="inlineStr">
        <is>
          <t>Criterio de ranking</t>
        </is>
      </c>
      <c r="B6" s="29" t="inlineStr">
        <is>
          <t>Aportación de EBITDA: con múltiplo constante, más EBITDA = más EV. Empresas sin dato o con EBITDA negativo no entran en el top 5.</t>
        </is>
      </c>
      <c r="C6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2026-09-28T17:39:34Z</dcterms:created>
  <dcterms:modified xsi:type="dcterms:W3CDTF">2026-09-28T17:39:34Z</dcterms:modified>
</cp:coreProperties>
</file>