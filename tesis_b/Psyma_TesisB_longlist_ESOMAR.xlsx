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 list" sheetId="1" state="visible" r:id="rId1"/>
    <sheet name="Resumen" sheetId="2" state="visible" r:id="rId2"/>
    <sheet name="Top 5 para láminas" sheetId="3" state="visible" r:id="rId3"/>
  </sheets>
  <definedNames>
    <definedName name="_xlnm._FilterDatabase" localSheetId="0" hidden="1">'Long list'!$A$4:$Q$49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-"/>
  </numFmts>
  <fonts count="14">
    <font>
      <name val="Calibri"/>
      <family val="2"/>
      <color theme="1"/>
      <sz val="11"/>
      <scheme val="minor"/>
    </font>
    <font>
      <name val="Arial"/>
      <b val="1"/>
      <color rgb="0014233C"/>
      <sz val="14"/>
    </font>
    <font>
      <name val="Arial"/>
      <i val="1"/>
      <color rgb="0056707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0000FF"/>
      <sz val="9"/>
    </font>
    <font>
      <name val="Arial"/>
      <i val="1"/>
      <sz val="9"/>
    </font>
    <font>
      <name val="Arial"/>
      <b val="1"/>
      <color rgb="0014233C"/>
      <sz val="12"/>
    </font>
    <font>
      <name val="Arial"/>
      <b val="1"/>
      <color rgb="00FFFFFF"/>
    </font>
    <font>
      <name val="Arial"/>
      <b val="1"/>
    </font>
    <font>
      <name val="Arial"/>
      <sz val="10"/>
    </font>
    <font>
      <name val="Arial"/>
      <b val="1"/>
      <color rgb="0014233C"/>
      <sz val="11"/>
    </font>
    <font>
      <name val="Arial"/>
      <color rgb="00008000"/>
      <sz val="9"/>
    </font>
  </fonts>
  <fills count="7">
    <fill>
      <patternFill/>
    </fill>
    <fill>
      <patternFill patternType="gray125"/>
    </fill>
    <fill>
      <patternFill patternType="solid">
        <fgColor rgb="0014233C"/>
      </patternFill>
    </fill>
    <fill>
      <patternFill patternType="solid">
        <fgColor rgb="00E6EBEE"/>
      </patternFill>
    </fill>
    <fill>
      <patternFill patternType="solid">
        <fgColor rgb="00FFFF00"/>
      </patternFill>
    </fill>
    <fill>
      <patternFill patternType="solid">
        <fgColor rgb="00EEF1F3"/>
      </patternFill>
    </fill>
    <fill>
      <patternFill patternType="solid">
        <fgColor rgb="00F6F7F8"/>
      </patternFill>
    </fill>
  </fills>
  <borders count="2">
    <border>
      <left/>
      <right/>
      <top/>
      <bottom/>
      <diagonal/>
    </border>
    <border>
      <bottom style="thin">
        <color rgb="00C9D1D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6" customWidth="1" min="4" max="4"/>
    <col width="16" customWidth="1" min="5" max="5"/>
    <col width="20" customWidth="1" min="6" max="6"/>
    <col width="34" customWidth="1" min="7" max="7"/>
    <col width="50" customWidth="1" min="8" max="8"/>
    <col width="48" customWidth="1" min="9" max="9"/>
    <col width="22" customWidth="1" min="10" max="10"/>
    <col width="9" customWidth="1" min="11" max="11"/>
    <col width="10" customWidth="1" min="12" max="12"/>
    <col width="24" customWidth="1" min="13" max="13"/>
    <col width="13" customWidth="1" min="14" max="14"/>
    <col width="11" customWidth="1" min="15" max="15"/>
    <col width="10" customWidth="1" min="16" max="16"/>
    <col width="9" customWidth="1" min="17" max="17"/>
  </cols>
  <sheetData>
    <row r="1">
      <c r="A1" s="1" t="inlineStr">
        <is>
          <t>Psyma Ibérica · Tesis B · Long list de 15 empresas por vertical bajo el paraguas ESOMAR (España)</t>
        </is>
      </c>
    </row>
    <row r="2">
      <c r="A2" s="2" t="inlineStr">
        <is>
          <t>Celdas amarillas = completar con SABI (último ejercicio disponible). Mercado: Insights + Analytics España 2024 (1.452 M€).</t>
        </is>
      </c>
    </row>
    <row r="4">
      <c r="A4" s="3" t="inlineStr">
        <is>
          <t>#</t>
        </is>
      </c>
      <c r="B4" s="3" t="inlineStr">
        <is>
          <t>Bloque (tesis B)</t>
        </is>
      </c>
      <c r="C4" s="3" t="inlineStr">
        <is>
          <t>Subactividad</t>
        </is>
      </c>
      <c r="D4" s="3" t="inlineStr">
        <is>
          <t>Empresa</t>
        </is>
      </c>
      <c r="E4" s="3" t="inlineStr">
        <is>
          <t>Sede</t>
        </is>
      </c>
      <c r="F4" s="3" t="inlineStr">
        <is>
          <t>Perfil</t>
        </is>
      </c>
      <c r="G4" s="3" t="inlineStr">
        <is>
          <t>Propiedad / accionista</t>
        </is>
      </c>
      <c r="H4" s="3" t="inlineStr">
        <is>
          <t>Actividad</t>
        </is>
      </c>
      <c r="I4" s="3" t="inlineStr">
        <is>
          <t>Qué aporta a Psyma</t>
        </is>
      </c>
      <c r="J4" s="3" t="inlineStr">
        <is>
          <t>Rol en la tesis</t>
        </is>
      </c>
      <c r="K4" s="3" t="inlineStr">
        <is>
          <t>Prioridad</t>
        </is>
      </c>
      <c r="L4" s="3" t="inlineStr">
        <is>
          <t>Top 5 del bloque</t>
        </is>
      </c>
      <c r="M4" s="3" t="inlineStr">
        <is>
          <t>Web</t>
        </is>
      </c>
      <c r="N4" s="3" t="inlineStr">
        <is>
          <t>Facturación (M€)</t>
        </is>
      </c>
      <c r="O4" s="3" t="inlineStr">
        <is>
          <t>EBITDA (M€)</t>
        </is>
      </c>
      <c r="P4" s="3" t="inlineStr">
        <is>
          <t>Empleados</t>
        </is>
      </c>
      <c r="Q4" s="3" t="inlineStr">
        <is>
          <t>Año dato</t>
        </is>
      </c>
    </row>
    <row r="5">
      <c r="A5" s="4" t="n">
        <v>1</v>
      </c>
      <c r="B5" s="4" t="inlineStr">
        <is>
          <t>Bloque 1 · Otros sectores</t>
        </is>
      </c>
      <c r="C5" s="4" t="inlineStr">
        <is>
          <t>Consumo y retail</t>
        </is>
      </c>
      <c r="D5" s="5" t="inlineStr">
        <is>
          <t>Instituto DYM</t>
        </is>
      </c>
      <c r="E5" s="4" t="inlineStr">
        <is>
          <t>Madrid</t>
        </is>
      </c>
      <c r="F5" s="4" t="inlineStr">
        <is>
          <t>Independiente nacional</t>
        </is>
      </c>
      <c r="G5" s="4" t="inlineStr">
        <is>
          <t>Independiente; fundado en 1962</t>
        </is>
      </c>
      <c r="H5" s="4" t="inlineStr">
        <is>
          <t>Instituto full-service ad hoc (cuanti y cuali); 49 empleados en 2024; socio de I+A España</t>
        </is>
      </c>
      <c r="I5" s="4" t="inlineStr">
        <is>
          <t>Cartera de gran consumo y capacidad de campo; tamaño asumible para una primera compra</t>
        </is>
      </c>
      <c r="J5" s="4" t="inlineStr">
        <is>
          <t>Target build-up</t>
        </is>
      </c>
      <c r="K5" s="4" t="inlineStr">
        <is>
          <t>A</t>
        </is>
      </c>
      <c r="L5" s="4" t="inlineStr">
        <is>
          <t>Sí</t>
        </is>
      </c>
      <c r="M5" s="4" t="inlineStr">
        <is>
          <t>institutodym.es</t>
        </is>
      </c>
      <c r="N5" s="6" t="n"/>
      <c r="O5" s="6" t="n"/>
      <c r="P5" s="7" t="n"/>
      <c r="Q5" s="7" t="n"/>
    </row>
    <row r="6">
      <c r="A6" s="4" t="n">
        <v>2</v>
      </c>
      <c r="B6" s="4" t="inlineStr">
        <is>
          <t>Bloque 1 · Otros sectores</t>
        </is>
      </c>
      <c r="C6" s="4" t="inlineStr">
        <is>
          <t>Consumo y retail</t>
        </is>
      </c>
      <c r="D6" s="5" t="inlineStr">
        <is>
          <t>Ikerfel</t>
        </is>
      </c>
      <c r="E6" s="4" t="inlineStr">
        <is>
          <t>Bilbao</t>
        </is>
      </c>
      <c r="F6" s="4" t="inlineStr">
        <is>
          <t>Independiente nacional</t>
        </is>
      </c>
      <c r="G6" s="4" t="inlineStr">
        <is>
          <t>Independiente; fundado en 1976</t>
        </is>
      </c>
      <c r="H6" s="4" t="inlineStr">
        <is>
          <t>Investigación de mercados y estrategia; +7.000 estudios; socio de I+A España</t>
        </is>
      </c>
      <c r="I6" s="4" t="inlineStr">
        <is>
          <t>Cobertura del norte de España; clientes de consumo y utilities</t>
        </is>
      </c>
      <c r="J6" s="4" t="inlineStr">
        <is>
          <t>Target build-up</t>
        </is>
      </c>
      <c r="K6" s="4" t="inlineStr">
        <is>
          <t>A</t>
        </is>
      </c>
      <c r="L6" s="4" t="inlineStr">
        <is>
          <t>Sí</t>
        </is>
      </c>
      <c r="M6" s="4" t="inlineStr">
        <is>
          <t>ikerfel.es</t>
        </is>
      </c>
      <c r="N6" s="6" t="n"/>
      <c r="O6" s="6" t="n"/>
      <c r="P6" s="7" t="n"/>
      <c r="Q6" s="7" t="n"/>
    </row>
    <row r="7">
      <c r="A7" s="4" t="n">
        <v>3</v>
      </c>
      <c r="B7" s="4" t="inlineStr">
        <is>
          <t>Bloque 1 · Otros sectores</t>
        </is>
      </c>
      <c r="C7" s="4" t="inlineStr">
        <is>
          <t>Consumo y retail</t>
        </is>
      </c>
      <c r="D7" s="5" t="inlineStr">
        <is>
          <t>More than Research</t>
        </is>
      </c>
      <c r="E7" s="4" t="inlineStr">
        <is>
          <t>Madrid</t>
        </is>
      </c>
      <c r="F7" s="4" t="inlineStr">
        <is>
          <t>Independiente nacional</t>
        </is>
      </c>
      <c r="G7" s="4" t="inlineStr">
        <is>
          <t>Fundador (ex Infratest, Synovate, Ipsos); fundada en 2011</t>
        </is>
      </c>
      <c r="H7" s="4" t="inlineStr">
        <is>
          <t>Agencia multidisciplinar: marketing y publicidad, UX, pharma y social media; socio de I+A España</t>
        </is>
      </c>
      <c r="I7" s="4" t="inlineStr">
        <is>
          <t>Ya toca pharma: encaje cultural y cartera de consumo</t>
        </is>
      </c>
      <c r="J7" s="4" t="inlineStr">
        <is>
          <t>Target build-up</t>
        </is>
      </c>
      <c r="K7" s="4" t="inlineStr">
        <is>
          <t>A</t>
        </is>
      </c>
      <c r="L7" s="4" t="inlineStr">
        <is>
          <t>No</t>
        </is>
      </c>
      <c r="M7" s="4" t="inlineStr">
        <is>
          <t>moretr.com</t>
        </is>
      </c>
      <c r="N7" s="6" t="n"/>
      <c r="O7" s="6" t="n"/>
      <c r="P7" s="7" t="n"/>
      <c r="Q7" s="7" t="n"/>
    </row>
    <row r="8">
      <c r="A8" s="4" t="n">
        <v>4</v>
      </c>
      <c r="B8" s="4" t="inlineStr">
        <is>
          <t>Bloque 1 · Otros sectores</t>
        </is>
      </c>
      <c r="C8" s="4" t="inlineStr">
        <is>
          <t>Consumo y retail</t>
        </is>
      </c>
      <c r="D8" s="5" t="inlineStr">
        <is>
          <t>CS On Research</t>
        </is>
      </c>
      <c r="E8" s="4" t="inlineStr">
        <is>
          <t>Madrid (verificar)</t>
        </is>
      </c>
      <c r="F8" s="4" t="inlineStr">
        <is>
          <t>Independiente nacional</t>
        </is>
      </c>
      <c r="G8" s="4" t="inlineStr">
        <is>
          <t>Verificar en SABI</t>
        </is>
      </c>
      <c r="H8" s="4" t="inlineStr">
        <is>
          <t>Instituto 100% online con panel propio de +85.000 personas; 19 empleados; ISO 20252</t>
        </is>
      </c>
      <c r="I8" s="4" t="inlineStr">
        <is>
          <t>Añade capacidad online y panel propio a Psyma</t>
        </is>
      </c>
      <c r="J8" s="4" t="inlineStr">
        <is>
          <t>Target build-up</t>
        </is>
      </c>
      <c r="K8" s="4" t="inlineStr">
        <is>
          <t>B</t>
        </is>
      </c>
      <c r="L8" s="4" t="inlineStr">
        <is>
          <t>No</t>
        </is>
      </c>
      <c r="M8" s="4" t="inlineStr">
        <is>
          <t>csonresearch.com</t>
        </is>
      </c>
      <c r="N8" s="6" t="n"/>
      <c r="O8" s="6" t="n"/>
      <c r="P8" s="7" t="n"/>
      <c r="Q8" s="7" t="n"/>
    </row>
    <row r="9">
      <c r="A9" s="4" t="n">
        <v>5</v>
      </c>
      <c r="B9" s="4" t="inlineStr">
        <is>
          <t>Bloque 1 · Otros sectores</t>
        </is>
      </c>
      <c r="C9" s="4" t="inlineStr">
        <is>
          <t>Consumo y retail</t>
        </is>
      </c>
      <c r="D9" s="5" t="inlineStr">
        <is>
          <t>Invymark</t>
        </is>
      </c>
      <c r="E9" s="4" t="inlineStr">
        <is>
          <t>Madrid</t>
        </is>
      </c>
      <c r="F9" s="4" t="inlineStr">
        <is>
          <t>Independiente nacional</t>
        </is>
      </c>
      <c r="G9" s="4" t="inlineStr">
        <is>
          <t>Verificar en SABI</t>
        </is>
      </c>
      <c r="H9" s="4" t="inlineStr">
        <is>
          <t>Investigación ad hoc y trackings para gran consumo y medios</t>
        </is>
      </c>
      <c r="I9" s="4" t="inlineStr">
        <is>
          <t>Clientes de gran consumo</t>
        </is>
      </c>
      <c r="J9" s="4" t="inlineStr">
        <is>
          <t>Target build-up</t>
        </is>
      </c>
      <c r="K9" s="4" t="inlineStr">
        <is>
          <t>C</t>
        </is>
      </c>
      <c r="L9" s="4" t="inlineStr">
        <is>
          <t>No</t>
        </is>
      </c>
      <c r="M9" s="4" t="inlineStr">
        <is>
          <t>invymark.com</t>
        </is>
      </c>
      <c r="N9" s="6" t="n"/>
      <c r="O9" s="6" t="n"/>
      <c r="P9" s="7" t="n"/>
      <c r="Q9" s="7" t="n"/>
    </row>
    <row r="10">
      <c r="A10" s="4" t="n">
        <v>6</v>
      </c>
      <c r="B10" s="4" t="inlineStr">
        <is>
          <t>Bloque 1 · Otros sectores</t>
        </is>
      </c>
      <c r="C10" s="4" t="inlineStr">
        <is>
          <t>Financiero / telco / B2B</t>
        </is>
      </c>
      <c r="D10" s="5" t="inlineStr">
        <is>
          <t>IO Investigación</t>
        </is>
      </c>
      <c r="E10" s="4" t="inlineStr">
        <is>
          <t>Madrid</t>
        </is>
      </c>
      <c r="F10" s="4" t="inlineStr">
        <is>
          <t>Independiente nacional</t>
        </is>
      </c>
      <c r="G10" s="4" t="inlineStr">
        <is>
          <t>Independiente</t>
        </is>
      </c>
      <c r="H10" s="4" t="inlineStr">
        <is>
          <t>Mayor instituto independiente español: telco, electrónica de consumo, banca; panel Sondea y mystery shopping</t>
        </is>
      </c>
      <c r="I10" s="4" t="inlineStr">
        <is>
          <t>Escala y cartera en telco y finanzas (ya en el deck)</t>
        </is>
      </c>
      <c r="J10" s="4" t="inlineStr">
        <is>
          <t>Target build-up</t>
        </is>
      </c>
      <c r="K10" s="4" t="inlineStr">
        <is>
          <t>A</t>
        </is>
      </c>
      <c r="L10" s="4" t="inlineStr">
        <is>
          <t>Sí</t>
        </is>
      </c>
      <c r="M10" s="4" t="inlineStr">
        <is>
          <t>ioinvestigacion.com</t>
        </is>
      </c>
      <c r="N10" s="6" t="n"/>
      <c r="O10" s="6" t="n"/>
      <c r="P10" s="7" t="n"/>
      <c r="Q10" s="7" t="n"/>
    </row>
    <row r="11">
      <c r="A11" s="4" t="n">
        <v>7</v>
      </c>
      <c r="B11" s="4" t="inlineStr">
        <is>
          <t>Bloque 1 · Otros sectores</t>
        </is>
      </c>
      <c r="C11" s="4" t="inlineStr">
        <is>
          <t>Financiero / telco / B2B</t>
        </is>
      </c>
      <c r="D11" s="5" t="inlineStr">
        <is>
          <t>Gizaker</t>
        </is>
      </c>
      <c r="E11" s="4" t="inlineStr">
        <is>
          <t>Bilbao</t>
        </is>
      </c>
      <c r="F11" s="4" t="inlineStr">
        <is>
          <t>Independiente nacional</t>
        </is>
      </c>
      <c r="G11" s="4" t="inlineStr">
        <is>
          <t>Verificar en SABI</t>
        </is>
      </c>
      <c r="H11" s="4" t="inlineStr">
        <is>
          <t>Investigación social y de mercados para empresas B2B y administraciones del País Vasco</t>
        </is>
      </c>
      <c r="I11" s="4" t="inlineStr">
        <is>
          <t>Complemento regional a Ikerfel</t>
        </is>
      </c>
      <c r="J11" s="4" t="inlineStr">
        <is>
          <t>Target build-up</t>
        </is>
      </c>
      <c r="K11" s="4" t="inlineStr">
        <is>
          <t>C</t>
        </is>
      </c>
      <c r="L11" s="4" t="inlineStr">
        <is>
          <t>No</t>
        </is>
      </c>
      <c r="M11" s="4" t="inlineStr">
        <is>
          <t>gizaker.com</t>
        </is>
      </c>
      <c r="N11" s="6" t="n"/>
      <c r="O11" s="6" t="n"/>
      <c r="P11" s="7" t="n"/>
      <c r="Q11" s="7" t="n"/>
    </row>
    <row r="12">
      <c r="A12" s="4" t="n">
        <v>8</v>
      </c>
      <c r="B12" s="4" t="inlineStr">
        <is>
          <t>Bloque 1 · Otros sectores</t>
        </is>
      </c>
      <c r="C12" s="4" t="inlineStr">
        <is>
          <t>Financiero / telco / B2B</t>
        </is>
      </c>
      <c r="D12" s="5" t="inlineStr">
        <is>
          <t>Opinòmetre</t>
        </is>
      </c>
      <c r="E12" s="4" t="inlineStr">
        <is>
          <t>Barcelona</t>
        </is>
      </c>
      <c r="F12" s="4" t="inlineStr">
        <is>
          <t>Independiente nacional</t>
        </is>
      </c>
      <c r="G12" s="4" t="inlineStr">
        <is>
          <t>Verificar en SABI</t>
        </is>
      </c>
      <c r="H12" s="4" t="inlineStr">
        <is>
          <t>Investigación de mercados y opinión en Cataluña; B2B y sector público</t>
        </is>
      </c>
      <c r="I12" s="4" t="inlineStr">
        <is>
          <t>Presencia en Cataluña</t>
        </is>
      </c>
      <c r="J12" s="4" t="inlineStr">
        <is>
          <t>Target build-up</t>
        </is>
      </c>
      <c r="K12" s="4" t="inlineStr">
        <is>
          <t>C</t>
        </is>
      </c>
      <c r="L12" s="4" t="inlineStr">
        <is>
          <t>No</t>
        </is>
      </c>
      <c r="M12" s="4" t="inlineStr">
        <is>
          <t>opinometre.com</t>
        </is>
      </c>
      <c r="N12" s="6" t="n"/>
      <c r="O12" s="6" t="n"/>
      <c r="P12" s="7" t="n"/>
      <c r="Q12" s="7" t="n"/>
    </row>
    <row r="13">
      <c r="A13" s="4" t="n">
        <v>9</v>
      </c>
      <c r="B13" s="4" t="inlineStr">
        <is>
          <t>Bloque 1 · Otros sectores</t>
        </is>
      </c>
      <c r="C13" s="4" t="inlineStr">
        <is>
          <t>Opinión y sector público</t>
        </is>
      </c>
      <c r="D13" s="5" t="inlineStr">
        <is>
          <t>GAD3</t>
        </is>
      </c>
      <c r="E13" s="4" t="inlineStr">
        <is>
          <t>Madrid</t>
        </is>
      </c>
      <c r="F13" s="4" t="inlineStr">
        <is>
          <t>Independiente nacional</t>
        </is>
      </c>
      <c r="G13" s="4" t="inlineStr">
        <is>
          <t>Independiente (Narciso Michavila)</t>
        </is>
      </c>
      <c r="H13" s="4" t="inlineStr">
        <is>
          <t>Investigación social, electoral y de opinión para medios, empresas e instituciones</t>
        </is>
      </c>
      <c r="I13" s="4" t="inlineStr">
        <is>
          <t>Marca de referencia en opinión; contratos institucionales</t>
        </is>
      </c>
      <c r="J13" s="4" t="inlineStr">
        <is>
          <t>Target build-up</t>
        </is>
      </c>
      <c r="K13" s="4" t="inlineStr">
        <is>
          <t>A</t>
        </is>
      </c>
      <c r="L13" s="4" t="inlineStr">
        <is>
          <t>Sí</t>
        </is>
      </c>
      <c r="M13" s="4" t="inlineStr">
        <is>
          <t>gad3.com</t>
        </is>
      </c>
      <c r="N13" s="6" t="n"/>
      <c r="O13" s="6" t="n"/>
      <c r="P13" s="7" t="n"/>
      <c r="Q13" s="7" t="n"/>
    </row>
    <row r="14">
      <c r="A14" s="4" t="n">
        <v>10</v>
      </c>
      <c r="B14" s="4" t="inlineStr">
        <is>
          <t>Bloque 1 · Otros sectores</t>
        </is>
      </c>
      <c r="C14" s="4" t="inlineStr">
        <is>
          <t>Opinión y sector público</t>
        </is>
      </c>
      <c r="D14" s="5" t="inlineStr">
        <is>
          <t>Sigma Dos</t>
        </is>
      </c>
      <c r="E14" s="4" t="inlineStr">
        <is>
          <t>Madrid</t>
        </is>
      </c>
      <c r="F14" s="4" t="inlineStr">
        <is>
          <t>Independiente nacional</t>
        </is>
      </c>
      <c r="G14" s="4" t="inlineStr">
        <is>
          <t>Verificar en SABI</t>
        </is>
      </c>
      <c r="H14" s="4" t="inlineStr">
        <is>
          <t>Encuestas electorales y de opinión; alianza con Dos30' para medir plataformas; socio de I+A España</t>
        </is>
      </c>
      <c r="I14" s="4" t="inlineStr">
        <is>
          <t>Opinión + puente hacia audiencias (bloque 2)</t>
        </is>
      </c>
      <c r="J14" s="4" t="inlineStr">
        <is>
          <t>Target build-up</t>
        </is>
      </c>
      <c r="K14" s="4" t="inlineStr">
        <is>
          <t>A</t>
        </is>
      </c>
      <c r="L14" s="4" t="inlineStr">
        <is>
          <t>Sí</t>
        </is>
      </c>
      <c r="M14" s="4" t="inlineStr">
        <is>
          <t>sigmados.com</t>
        </is>
      </c>
      <c r="N14" s="6" t="n"/>
      <c r="O14" s="6" t="n"/>
      <c r="P14" s="7" t="n"/>
      <c r="Q14" s="7" t="n"/>
    </row>
    <row r="15">
      <c r="A15" s="4" t="n">
        <v>11</v>
      </c>
      <c r="B15" s="4" t="inlineStr">
        <is>
          <t>Bloque 1 · Otros sectores</t>
        </is>
      </c>
      <c r="C15" s="4" t="inlineStr">
        <is>
          <t>Opinión y sector público</t>
        </is>
      </c>
      <c r="D15" s="5" t="inlineStr">
        <is>
          <t>IMOP Insights</t>
        </is>
      </c>
      <c r="E15" s="4" t="inlineStr">
        <is>
          <t>Madrid</t>
        </is>
      </c>
      <c r="F15" s="4" t="inlineStr">
        <is>
          <t>Independiente nacional</t>
        </is>
      </c>
      <c r="G15" s="4" t="inlineStr">
        <is>
          <t>Verificar en SABI</t>
        </is>
      </c>
      <c r="H15" s="4" t="inlineStr">
        <is>
          <t>Investigación social y de consumo; socio de I+A España</t>
        </is>
      </c>
      <c r="I15" s="4" t="inlineStr">
        <is>
          <t>Capacidad cuantitativa y contratos públicos recurrentes</t>
        </is>
      </c>
      <c r="J15" s="4" t="inlineStr">
        <is>
          <t>Target build-up</t>
        </is>
      </c>
      <c r="K15" s="4" t="inlineStr">
        <is>
          <t>B</t>
        </is>
      </c>
      <c r="L15" s="4" t="inlineStr">
        <is>
          <t>No</t>
        </is>
      </c>
      <c r="M15" s="4" t="inlineStr">
        <is>
          <t>imop.es</t>
        </is>
      </c>
      <c r="N15" s="6" t="n"/>
      <c r="O15" s="6" t="n"/>
      <c r="P15" s="7" t="n"/>
      <c r="Q15" s="7" t="n"/>
    </row>
    <row r="16">
      <c r="A16" s="4" t="n">
        <v>12</v>
      </c>
      <c r="B16" s="4" t="inlineStr">
        <is>
          <t>Bloque 1 · Otros sectores</t>
        </is>
      </c>
      <c r="C16" s="4" t="inlineStr">
        <is>
          <t>Opinión y sector público</t>
        </is>
      </c>
      <c r="D16" s="5" t="inlineStr">
        <is>
          <t>Celeste-Tel</t>
        </is>
      </c>
      <c r="E16" s="4" t="inlineStr">
        <is>
          <t>Madrid</t>
        </is>
      </c>
      <c r="F16" s="4" t="inlineStr">
        <is>
          <t>Independiente nacional</t>
        </is>
      </c>
      <c r="G16" s="4" t="inlineStr">
        <is>
          <t>Verificar en SABI</t>
        </is>
      </c>
      <c r="H16" s="4" t="inlineStr">
        <is>
          <t>Encuestas de opinión y estudios de mercado; socio de I+A España</t>
        </is>
      </c>
      <c r="I16" s="4" t="inlineStr">
        <is>
          <t>Opinión y campo telefónico</t>
        </is>
      </c>
      <c r="J16" s="4" t="inlineStr">
        <is>
          <t>Target build-up</t>
        </is>
      </c>
      <c r="K16" s="4" t="inlineStr">
        <is>
          <t>B</t>
        </is>
      </c>
      <c r="L16" s="4" t="inlineStr">
        <is>
          <t>No</t>
        </is>
      </c>
      <c r="M16" s="4" t="inlineStr">
        <is>
          <t>celeste-tel.es</t>
        </is>
      </c>
      <c r="N16" s="6" t="n"/>
      <c r="O16" s="6" t="n"/>
      <c r="P16" s="7" t="n"/>
      <c r="Q16" s="7" t="n"/>
    </row>
    <row r="17">
      <c r="A17" s="4" t="n">
        <v>13</v>
      </c>
      <c r="B17" s="4" t="inlineStr">
        <is>
          <t>Bloque 1 · Otros sectores</t>
        </is>
      </c>
      <c r="C17" s="4" t="inlineStr">
        <is>
          <t>Opinión y sector público</t>
        </is>
      </c>
      <c r="D17" s="5" t="inlineStr">
        <is>
          <t>40dB.</t>
        </is>
      </c>
      <c r="E17" s="4" t="inlineStr">
        <is>
          <t>Madrid</t>
        </is>
      </c>
      <c r="F17" s="4" t="inlineStr">
        <is>
          <t>Independiente nacional</t>
        </is>
      </c>
      <c r="G17" s="4" t="inlineStr">
        <is>
          <t>Independiente (fundada en 2020 por Belén Barreiro)</t>
        </is>
      </c>
      <c r="H17" s="4" t="inlineStr">
        <is>
          <t>Investigación social y de opinión (encuestas para El País/SER)</t>
        </is>
      </c>
      <c r="I17" s="4" t="inlineStr">
        <is>
          <t>Marca joven de opinión con metodología online</t>
        </is>
      </c>
      <c r="J17" s="4" t="inlineStr">
        <is>
          <t>Target build-up</t>
        </is>
      </c>
      <c r="K17" s="4" t="inlineStr">
        <is>
          <t>B</t>
        </is>
      </c>
      <c r="L17" s="4" t="inlineStr">
        <is>
          <t>No</t>
        </is>
      </c>
      <c r="M17" s="4" t="inlineStr">
        <is>
          <t>40db.es</t>
        </is>
      </c>
      <c r="N17" s="6" t="n"/>
      <c r="O17" s="6" t="n"/>
      <c r="P17" s="7" t="n"/>
      <c r="Q17" s="7" t="n"/>
    </row>
    <row r="18">
      <c r="A18" s="4" t="n">
        <v>14</v>
      </c>
      <c r="B18" s="4" t="inlineStr">
        <is>
          <t>Bloque 1 · Otros sectores</t>
        </is>
      </c>
      <c r="C18" s="4" t="inlineStr">
        <is>
          <t>Opinión y sector público</t>
        </is>
      </c>
      <c r="D18" s="5" t="inlineStr">
        <is>
          <t>SocioMétrica</t>
        </is>
      </c>
      <c r="E18" s="4" t="inlineStr">
        <is>
          <t>Madrid</t>
        </is>
      </c>
      <c r="F18" s="4" t="inlineStr">
        <is>
          <t>Independiente nacional</t>
        </is>
      </c>
      <c r="G18" s="4" t="inlineStr">
        <is>
          <t>Verificar en SABI</t>
        </is>
      </c>
      <c r="H18" s="4" t="inlineStr">
        <is>
          <t>Estudios sociales y de opinión; socio de I+A España</t>
        </is>
      </c>
      <c r="I18" s="4" t="inlineStr">
        <is>
          <t>Add-on de opinión</t>
        </is>
      </c>
      <c r="J18" s="4" t="inlineStr">
        <is>
          <t>Target build-up</t>
        </is>
      </c>
      <c r="K18" s="4" t="inlineStr">
        <is>
          <t>C</t>
        </is>
      </c>
      <c r="L18" s="4" t="inlineStr">
        <is>
          <t>No</t>
        </is>
      </c>
      <c r="M18" s="4" t="inlineStr">
        <is>
          <t>sociometrica.es</t>
        </is>
      </c>
      <c r="N18" s="6" t="n"/>
      <c r="O18" s="6" t="n"/>
      <c r="P18" s="7" t="n"/>
      <c r="Q18" s="7" t="n"/>
    </row>
    <row r="19">
      <c r="A19" s="4" t="n">
        <v>15</v>
      </c>
      <c r="B19" s="4" t="inlineStr">
        <is>
          <t>Bloque 1 · Otros sectores</t>
        </is>
      </c>
      <c r="C19" s="4" t="inlineStr">
        <is>
          <t>Opinión y sector público</t>
        </is>
      </c>
      <c r="D19" s="5" t="inlineStr">
        <is>
          <t>GESOP</t>
        </is>
      </c>
      <c r="E19" s="4" t="inlineStr">
        <is>
          <t>Barcelona</t>
        </is>
      </c>
      <c r="F19" s="4" t="inlineStr">
        <is>
          <t>Independiente nacional</t>
        </is>
      </c>
      <c r="G19" s="4" t="inlineStr">
        <is>
          <t>Verificar en SABI</t>
        </is>
      </c>
      <c r="H19" s="4" t="inlineStr">
        <is>
          <t>Estudios de opinión, sociales y electorales</t>
        </is>
      </c>
      <c r="I19" s="4" t="inlineStr">
        <is>
          <t>Opinión en Cataluña</t>
        </is>
      </c>
      <c r="J19" s="4" t="inlineStr">
        <is>
          <t>Target build-up</t>
        </is>
      </c>
      <c r="K19" s="4" t="inlineStr">
        <is>
          <t>C</t>
        </is>
      </c>
      <c r="L19" s="4" t="inlineStr">
        <is>
          <t>No</t>
        </is>
      </c>
      <c r="M19" s="4" t="inlineStr">
        <is>
          <t>gesop.net</t>
        </is>
      </c>
      <c r="N19" s="6" t="n"/>
      <c r="O19" s="6" t="n"/>
      <c r="P19" s="7" t="n"/>
      <c r="Q19" s="7" t="n"/>
    </row>
    <row r="20">
      <c r="A20" s="8" t="n">
        <v>16</v>
      </c>
      <c r="B20" s="8" t="inlineStr">
        <is>
          <t>Bloque 2 · Medición y dato recurrente</t>
        </is>
      </c>
      <c r="C20" s="8" t="inlineStr">
        <is>
          <t>Trackings de marca</t>
        </is>
      </c>
      <c r="D20" s="9" t="inlineStr">
        <is>
          <t>Random Strategy</t>
        </is>
      </c>
      <c r="E20" s="8" t="inlineStr">
        <is>
          <t>Madrid / Barcelona</t>
        </is>
      </c>
      <c r="F20" s="8" t="inlineStr">
        <is>
          <t>Independiente nacional</t>
        </is>
      </c>
      <c r="G20" s="8" t="inlineStr">
        <is>
          <t>Capital español; accionistas son los propios directivos; fundada en 1989</t>
        </is>
      </c>
      <c r="H20" s="8" t="inlineStr">
        <is>
          <t>Instituto con enfoque integral de investigación y consultoría; trackings y estudios continuos; ISO 20252; socio de I+A España</t>
        </is>
      </c>
      <c r="I20" s="8" t="inlineStr">
        <is>
          <t>Trackings continuos (ingreso recurrente) y equipo senior de consultoría</t>
        </is>
      </c>
      <c r="J20" s="8" t="inlineStr">
        <is>
          <t>Target build-up</t>
        </is>
      </c>
      <c r="K20" s="8" t="inlineStr">
        <is>
          <t>A</t>
        </is>
      </c>
      <c r="L20" s="8" t="inlineStr">
        <is>
          <t>No</t>
        </is>
      </c>
      <c r="M20" s="8" t="inlineStr">
        <is>
          <t>random-strategy.com</t>
        </is>
      </c>
      <c r="N20" s="6" t="n"/>
      <c r="O20" s="6" t="n"/>
      <c r="P20" s="7" t="n"/>
      <c r="Q20" s="7" t="n"/>
    </row>
    <row r="21">
      <c r="A21" s="8" t="n">
        <v>17</v>
      </c>
      <c r="B21" s="8" t="inlineStr">
        <is>
          <t>Bloque 2 · Medición y dato recurrente</t>
        </is>
      </c>
      <c r="C21" s="8" t="inlineStr">
        <is>
          <t>Trackings de marca</t>
        </is>
      </c>
      <c r="D21" s="9" t="inlineStr">
        <is>
          <t>Análisis e Investigación</t>
        </is>
      </c>
      <c r="E21" s="8" t="inlineStr">
        <is>
          <t>Madrid</t>
        </is>
      </c>
      <c r="F21" s="8" t="inlineStr">
        <is>
          <t>Independiente nacional</t>
        </is>
      </c>
      <c r="G21" s="8" t="inlineStr">
        <is>
          <t>Verificar en SABI</t>
        </is>
      </c>
      <c r="H21" s="8" t="inlineStr">
        <is>
          <t>Investigación y reporting de reputación corporativa (monitor Merco); socio de I+A España</t>
        </is>
      </c>
      <c r="I21" s="8" t="inlineStr">
        <is>
          <t>Producto recurrente de reputación y cartera corporativa</t>
        </is>
      </c>
      <c r="J21" s="8" t="inlineStr">
        <is>
          <t>Target build-up</t>
        </is>
      </c>
      <c r="K21" s="8" t="inlineStr">
        <is>
          <t>A</t>
        </is>
      </c>
      <c r="L21" s="8" t="inlineStr">
        <is>
          <t>No</t>
        </is>
      </c>
      <c r="M21" s="8" t="inlineStr">
        <is>
          <t>analisiseinvestigacion.com</t>
        </is>
      </c>
      <c r="N21" s="6" t="n"/>
      <c r="O21" s="6" t="n"/>
      <c r="P21" s="7" t="n"/>
      <c r="Q21" s="7" t="n"/>
    </row>
    <row r="22">
      <c r="A22" s="8" t="n">
        <v>18</v>
      </c>
      <c r="B22" s="8" t="inlineStr">
        <is>
          <t>Bloque 2 · Medición y dato recurrente</t>
        </is>
      </c>
      <c r="C22" s="8" t="inlineStr">
        <is>
          <t>Trackings de marca</t>
        </is>
      </c>
      <c r="D22" s="9" t="inlineStr">
        <is>
          <t>Tres14 Research</t>
        </is>
      </c>
      <c r="E22" s="8" t="inlineStr">
        <is>
          <t>Madrid</t>
        </is>
      </c>
      <c r="F22" s="8" t="inlineStr">
        <is>
          <t>Independiente nacional</t>
        </is>
      </c>
      <c r="G22" s="8" t="inlineStr">
        <is>
          <t>Verificar en SABI</t>
        </is>
      </c>
      <c r="H22" s="8" t="inlineStr">
        <is>
          <t>Investigación de medios y eficacia publicitaria (estudio ROIMAP con Atresmedia Publicidad)</t>
        </is>
      </c>
      <c r="I22" s="8" t="inlineStr">
        <is>
          <t>Tracking de notoriedad y eficacia de medios</t>
        </is>
      </c>
      <c r="J22" s="8" t="inlineStr">
        <is>
          <t>Target build-up</t>
        </is>
      </c>
      <c r="K22" s="8" t="inlineStr">
        <is>
          <t>B</t>
        </is>
      </c>
      <c r="L22" s="8" t="inlineStr">
        <is>
          <t>No</t>
        </is>
      </c>
      <c r="M22" s="8" t="inlineStr">
        <is>
          <t>tres14r.com</t>
        </is>
      </c>
      <c r="N22" s="6" t="n"/>
      <c r="O22" s="6" t="n"/>
      <c r="P22" s="7" t="n"/>
      <c r="Q22" s="7" t="n"/>
    </row>
    <row r="23">
      <c r="A23" s="8" t="n">
        <v>19</v>
      </c>
      <c r="B23" s="8" t="inlineStr">
        <is>
          <t>Bloque 2 · Medición y dato recurrente</t>
        </is>
      </c>
      <c r="C23" s="8" t="inlineStr">
        <is>
          <t>Trackings de marca</t>
        </is>
      </c>
      <c r="D23" s="9" t="inlineStr">
        <is>
          <t>Personality Media</t>
        </is>
      </c>
      <c r="E23" s="8" t="inlineStr">
        <is>
          <t>Madrid</t>
        </is>
      </c>
      <c r="F23" s="8" t="inlineStr">
        <is>
          <t>Independiente nacional</t>
        </is>
      </c>
      <c r="G23" s="8" t="inlineStr">
        <is>
          <t>Verificar en SABI</t>
        </is>
      </c>
      <c r="H23" s="8" t="inlineStr">
        <is>
          <t>Datos sindicados de imagen de +4.000 personajes (BPM Online, por suscripción); 7 empleados en 2024</t>
        </is>
      </c>
      <c r="I23" s="8" t="inlineStr">
        <is>
          <t>Pequeño, pero 100% dato recurrente por suscripción</t>
        </is>
      </c>
      <c r="J23" s="8" t="inlineStr">
        <is>
          <t>Target build-up</t>
        </is>
      </c>
      <c r="K23" s="8" t="inlineStr">
        <is>
          <t>B</t>
        </is>
      </c>
      <c r="L23" s="8" t="inlineStr">
        <is>
          <t>No</t>
        </is>
      </c>
      <c r="M23" s="8" t="inlineStr">
        <is>
          <t>personalitymedia.es</t>
        </is>
      </c>
      <c r="N23" s="6" t="n"/>
      <c r="O23" s="6" t="n"/>
      <c r="P23" s="7" t="n"/>
      <c r="Q23" s="7" t="n"/>
    </row>
    <row r="24">
      <c r="A24" s="8" t="n">
        <v>20</v>
      </c>
      <c r="B24" s="8" t="inlineStr">
        <is>
          <t>Bloque 2 · Medición y dato recurrente</t>
        </is>
      </c>
      <c r="C24" s="8" t="inlineStr">
        <is>
          <t>Experiencia de cliente y paciente</t>
        </is>
      </c>
      <c r="D24" s="9" t="inlineStr">
        <is>
          <t>IEXP · Instituto para la Experiencia del Paciente</t>
        </is>
      </c>
      <c r="E24" s="8" t="inlineStr">
        <is>
          <t>Madrid (verificar)</t>
        </is>
      </c>
      <c r="F24" s="8" t="inlineStr">
        <is>
          <t>Independiente nacional</t>
        </is>
      </c>
      <c r="G24" s="8" t="inlineStr">
        <is>
          <t>Verificar en SABI</t>
        </is>
      </c>
      <c r="H24" s="8" t="inlineStr">
        <is>
          <t>Medición y consultoría de experiencia de paciente para hospitales (La Paz, Vall d'Hebron…) y laboratorios (Novartis, GSK, Leo Pharma)</t>
        </is>
      </c>
      <c r="I24" s="8" t="inlineStr">
        <is>
          <t>Encaje directo con el cliente pharma de Psyma y paso a medición recurrente</t>
        </is>
      </c>
      <c r="J24" s="8" t="inlineStr">
        <is>
          <t>Target build-up</t>
        </is>
      </c>
      <c r="K24" s="8" t="inlineStr">
        <is>
          <t>A</t>
        </is>
      </c>
      <c r="L24" s="8" t="inlineStr">
        <is>
          <t>Sí</t>
        </is>
      </c>
      <c r="M24" s="8" t="inlineStr">
        <is>
          <t>iexp.es</t>
        </is>
      </c>
      <c r="N24" s="6" t="n"/>
      <c r="O24" s="6" t="n"/>
      <c r="P24" s="7" t="n"/>
      <c r="Q24" s="7" t="n"/>
    </row>
    <row r="25">
      <c r="A25" s="8" t="n">
        <v>21</v>
      </c>
      <c r="B25" s="8" t="inlineStr">
        <is>
          <t>Bloque 2 · Medición y dato recurrente</t>
        </is>
      </c>
      <c r="C25" s="8" t="inlineStr">
        <is>
          <t>Experiencia de cliente y paciente</t>
        </is>
      </c>
      <c r="D25" s="9" t="inlineStr">
        <is>
          <t>Stiga CX</t>
        </is>
      </c>
      <c r="E25" s="8" t="inlineStr">
        <is>
          <t>Madrid</t>
        </is>
      </c>
      <c r="F25" s="8" t="inlineStr">
        <is>
          <t>Independiente nacional</t>
        </is>
      </c>
      <c r="G25" s="8" t="inlineStr">
        <is>
          <t>Verificar en SABI</t>
        </is>
      </c>
      <c r="H25" s="8" t="inlineStr">
        <is>
          <t>Medición de CX, calidad de servicio, mystery shopping y data science para +100 empresas</t>
        </is>
      </c>
      <c r="I25" s="8" t="inlineStr">
        <is>
          <t>Programas CX continuos (ingreso recurrente)</t>
        </is>
      </c>
      <c r="J25" s="8" t="inlineStr">
        <is>
          <t>Target build-up</t>
        </is>
      </c>
      <c r="K25" s="8" t="inlineStr">
        <is>
          <t>A</t>
        </is>
      </c>
      <c r="L25" s="8" t="inlineStr">
        <is>
          <t>Sí</t>
        </is>
      </c>
      <c r="M25" s="8" t="inlineStr">
        <is>
          <t>stigacx.com</t>
        </is>
      </c>
      <c r="N25" s="6" t="n"/>
      <c r="O25" s="6" t="n"/>
      <c r="P25" s="7" t="n"/>
      <c r="Q25" s="7" t="n"/>
    </row>
    <row r="26">
      <c r="A26" s="8" t="n">
        <v>22</v>
      </c>
      <c r="B26" s="8" t="inlineStr">
        <is>
          <t>Bloque 2 · Medición y dato recurrente</t>
        </is>
      </c>
      <c r="C26" s="8" t="inlineStr">
        <is>
          <t>Experiencia de cliente y paciente</t>
        </is>
      </c>
      <c r="D26" s="9" t="inlineStr">
        <is>
          <t>MDK Investigación de Mercados</t>
        </is>
      </c>
      <c r="E26" s="8" t="inlineStr">
        <is>
          <t>Barcelona</t>
        </is>
      </c>
      <c r="F26" s="8" t="inlineStr">
        <is>
          <t>Independiente nacional</t>
        </is>
      </c>
      <c r="G26" s="8" t="inlineStr">
        <is>
          <t>Privada; fundada en 1998; 11-50 empleados</t>
        </is>
      </c>
      <c r="H26" s="8" t="inlineStr">
        <is>
          <t>Investigación de mercados y CX; plataforma MDK Insights; oficinas en Madrid y Latam</t>
        </is>
      </c>
      <c r="I26" s="8" t="inlineStr">
        <is>
          <t>CX + plataforma propia; abre Latam</t>
        </is>
      </c>
      <c r="J26" s="8" t="inlineStr">
        <is>
          <t>Target build-up</t>
        </is>
      </c>
      <c r="K26" s="8" t="inlineStr">
        <is>
          <t>B</t>
        </is>
      </c>
      <c r="L26" s="8" t="inlineStr">
        <is>
          <t>No</t>
        </is>
      </c>
      <c r="M26" s="8" t="inlineStr">
        <is>
          <t>mdk.es</t>
        </is>
      </c>
      <c r="N26" s="6" t="n"/>
      <c r="O26" s="6" t="n"/>
      <c r="P26" s="7" t="n"/>
      <c r="Q26" s="7" t="n"/>
    </row>
    <row r="27">
      <c r="A27" s="8" t="n">
        <v>23</v>
      </c>
      <c r="B27" s="8" t="inlineStr">
        <is>
          <t>Bloque 2 · Medición y dato recurrente</t>
        </is>
      </c>
      <c r="C27" s="8" t="inlineStr">
        <is>
          <t>Experiencia de cliente y paciente</t>
        </is>
      </c>
      <c r="D27" s="9" t="inlineStr">
        <is>
          <t>Lukkap</t>
        </is>
      </c>
      <c r="E27" s="8" t="inlineStr">
        <is>
          <t>Madrid</t>
        </is>
      </c>
      <c r="F27" s="8" t="inlineStr">
        <is>
          <t>Independiente nacional</t>
        </is>
      </c>
      <c r="G27" s="8" t="inlineStr">
        <is>
          <t>Verificar en SABI</t>
        </is>
      </c>
      <c r="H27" s="8" t="inlineStr">
        <is>
          <t>Consultoría y medición de experiencia de cliente y empleado; primer informe sectorial de experiencia de paciente en España</t>
        </is>
      </c>
      <c r="I27" s="8" t="inlineStr">
        <is>
          <t>CX en salud (aseguradoras, laboratorios, hospitales)</t>
        </is>
      </c>
      <c r="J27" s="8" t="inlineStr">
        <is>
          <t>Target build-up</t>
        </is>
      </c>
      <c r="K27" s="8" t="inlineStr">
        <is>
          <t>B</t>
        </is>
      </c>
      <c r="L27" s="8" t="inlineStr">
        <is>
          <t>No</t>
        </is>
      </c>
      <c r="M27" s="8" t="inlineStr">
        <is>
          <t>lukkap.com</t>
        </is>
      </c>
      <c r="N27" s="6" t="n"/>
      <c r="O27" s="6" t="n"/>
      <c r="P27" s="7" t="n"/>
      <c r="Q27" s="7" t="n"/>
    </row>
    <row r="28">
      <c r="A28" s="8" t="n">
        <v>24</v>
      </c>
      <c r="B28" s="8" t="inlineStr">
        <is>
          <t>Bloque 2 · Medición y dato recurrente</t>
        </is>
      </c>
      <c r="C28" s="8" t="inlineStr">
        <is>
          <t>Experiencia de cliente y paciente</t>
        </is>
      </c>
      <c r="D28" s="9" t="inlineStr">
        <is>
          <t>Take A Tip</t>
        </is>
      </c>
      <c r="E28" s="8" t="inlineStr">
        <is>
          <t>Madrid (verificar)</t>
        </is>
      </c>
      <c r="F28" s="8" t="inlineStr">
        <is>
          <t>Independiente nacional</t>
        </is>
      </c>
      <c r="G28" s="8" t="inlineStr">
        <is>
          <t>Verificar en SABI</t>
        </is>
      </c>
      <c r="H28" s="8" t="inlineStr">
        <is>
          <t>Mystery shopping, encuestas de satisfacción y mejora continua; línea healthcare</t>
        </is>
      </c>
      <c r="I28" s="8" t="inlineStr">
        <is>
          <t>Mystery shopping en farmacia y centros sanitarios</t>
        </is>
      </c>
      <c r="J28" s="8" t="inlineStr">
        <is>
          <t>Target build-up</t>
        </is>
      </c>
      <c r="K28" s="8" t="inlineStr">
        <is>
          <t>C</t>
        </is>
      </c>
      <c r="L28" s="8" t="inlineStr">
        <is>
          <t>No</t>
        </is>
      </c>
      <c r="M28" s="8" t="inlineStr">
        <is>
          <t>takeatip.es</t>
        </is>
      </c>
      <c r="N28" s="6" t="n"/>
      <c r="O28" s="6" t="n"/>
      <c r="P28" s="7" t="n"/>
      <c r="Q28" s="7" t="n"/>
    </row>
    <row r="29">
      <c r="A29" s="8" t="n">
        <v>25</v>
      </c>
      <c r="B29" s="8" t="inlineStr">
        <is>
          <t>Bloque 2 · Medición y dato recurrente</t>
        </is>
      </c>
      <c r="C29" s="8" t="inlineStr">
        <is>
          <t>Medición de audiencias</t>
        </is>
      </c>
      <c r="D29" s="9" t="inlineStr">
        <is>
          <t>Barlovento Comunicación</t>
        </is>
      </c>
      <c r="E29" s="8" t="inlineStr">
        <is>
          <t>Madrid</t>
        </is>
      </c>
      <c r="F29" s="8" t="inlineStr">
        <is>
          <t>Independiente nacional</t>
        </is>
      </c>
      <c r="G29" s="8" t="inlineStr">
        <is>
          <t>Fundador (Ricardo Vaca); sondeó el mercado en busca de comprador en 2024</t>
        </is>
      </c>
      <c r="H29" s="8" t="inlineStr">
        <is>
          <t>Consultoría y reporting de audiencias TV y digitales; informes mensuales con GfK DAM</t>
        </is>
      </c>
      <c r="I29" s="8" t="inlineStr">
        <is>
          <t>Vendedor activo; dato recurrente de audiencias (análogo a Marktest en Minerva)</t>
        </is>
      </c>
      <c r="J29" s="8" t="inlineStr">
        <is>
          <t>Target build-up</t>
        </is>
      </c>
      <c r="K29" s="8" t="inlineStr">
        <is>
          <t>A</t>
        </is>
      </c>
      <c r="L29" s="8" t="inlineStr">
        <is>
          <t>Sí</t>
        </is>
      </c>
      <c r="M29" s="8" t="inlineStr">
        <is>
          <t>barloventocomunicacion.es</t>
        </is>
      </c>
      <c r="N29" s="6" t="n"/>
      <c r="O29" s="6" t="n"/>
      <c r="P29" s="7" t="n"/>
      <c r="Q29" s="7" t="n"/>
    </row>
    <row r="30">
      <c r="A30" s="8" t="n">
        <v>26</v>
      </c>
      <c r="B30" s="8" t="inlineStr">
        <is>
          <t>Bloque 2 · Medición y dato recurrente</t>
        </is>
      </c>
      <c r="C30" s="8" t="inlineStr">
        <is>
          <t>Medición de audiencias</t>
        </is>
      </c>
      <c r="D30" s="9" t="inlineStr">
        <is>
          <t>Dos30'</t>
        </is>
      </c>
      <c r="E30" s="8" t="inlineStr">
        <is>
          <t>Madrid</t>
        </is>
      </c>
      <c r="F30" s="8" t="inlineStr">
        <is>
          <t>Independiente nacional</t>
        </is>
      </c>
      <c r="G30" s="8" t="inlineStr">
        <is>
          <t>Verificar en SABI</t>
        </is>
      </c>
      <c r="H30" s="8" t="inlineStr">
        <is>
          <t>Análisis de audiencias TV y plataformas; alianza con Sigma Dos para medir Netflix, Prime y Movistar+</t>
        </is>
      </c>
      <c r="I30" s="8" t="inlineStr">
        <is>
          <t>Audiencias de streaming; combinable con Sigma Dos (bloque 1)</t>
        </is>
      </c>
      <c r="J30" s="8" t="inlineStr">
        <is>
          <t>Target build-up</t>
        </is>
      </c>
      <c r="K30" s="8" t="inlineStr">
        <is>
          <t>A</t>
        </is>
      </c>
      <c r="L30" s="8" t="inlineStr">
        <is>
          <t>Sí</t>
        </is>
      </c>
      <c r="M30" s="8" t="inlineStr">
        <is>
          <t>dos30.com</t>
        </is>
      </c>
      <c r="N30" s="6" t="n"/>
      <c r="O30" s="6" t="n"/>
      <c r="P30" s="7" t="n"/>
      <c r="Q30" s="7" t="n"/>
    </row>
    <row r="31">
      <c r="A31" s="8" t="n">
        <v>27</v>
      </c>
      <c r="B31" s="8" t="inlineStr">
        <is>
          <t>Bloque 2 · Medición y dato recurrente</t>
        </is>
      </c>
      <c r="C31" s="8" t="inlineStr">
        <is>
          <t>Medición de audiencias</t>
        </is>
      </c>
      <c r="D31" s="9" t="inlineStr">
        <is>
          <t>GECA</t>
        </is>
      </c>
      <c r="E31" s="8" t="inlineStr">
        <is>
          <t>Madrid</t>
        </is>
      </c>
      <c r="F31" s="8" t="inlineStr">
        <is>
          <t>Filial de grupo audiovisual</t>
        </is>
      </c>
      <c r="G31" s="8" t="inlineStr">
        <is>
          <t>Grupo audiovisual (Globomedia / Grupo Imagina) — verificar</t>
        </is>
      </c>
      <c r="H31" s="8" t="inlineStr">
        <is>
          <t>Primera consultora española de TV (1993): audiencias, programación y contenidos</t>
        </is>
      </c>
      <c r="I31" s="8" t="inlineStr">
        <is>
          <t>Reporting de audiencias; carve-out posible</t>
        </is>
      </c>
      <c r="J31" s="8" t="inlineStr">
        <is>
          <t>Target build-up</t>
        </is>
      </c>
      <c r="K31" s="8" t="inlineStr">
        <is>
          <t>B</t>
        </is>
      </c>
      <c r="L31" s="8" t="inlineStr">
        <is>
          <t>No</t>
        </is>
      </c>
      <c r="M31" s="8" t="inlineStr">
        <is>
          <t>geca.es</t>
        </is>
      </c>
      <c r="N31" s="6" t="n"/>
      <c r="O31" s="6" t="n"/>
      <c r="P31" s="7" t="n"/>
      <c r="Q31" s="7" t="n"/>
    </row>
    <row r="32">
      <c r="A32" s="8" t="n">
        <v>28</v>
      </c>
      <c r="B32" s="8" t="inlineStr">
        <is>
          <t>Bloque 2 · Medición y dato recurrente</t>
        </is>
      </c>
      <c r="C32" s="8" t="inlineStr">
        <is>
          <t>Consultoría estratégica</t>
        </is>
      </c>
      <c r="D32" s="9" t="inlineStr">
        <is>
          <t>The Cocktail Analysis</t>
        </is>
      </c>
      <c r="E32" s="8" t="inlineStr">
        <is>
          <t>Madrid</t>
        </is>
      </c>
      <c r="F32" s="8" t="inlineStr">
        <is>
          <t>Independiente nacional</t>
        </is>
      </c>
      <c r="G32" s="8" t="inlineStr">
        <is>
          <t>Independiente (spin-off de The Cocktail)</t>
        </is>
      </c>
      <c r="H32" s="8" t="inlineStr">
        <is>
          <t>Consultoría de investigación e insights: tendencias de consumo, comunicación y tecnología</t>
        </is>
      </c>
      <c r="I32" s="8" t="inlineStr">
        <is>
          <t>Sube la cadena de valor: de estudio a recomendación estratégica</t>
        </is>
      </c>
      <c r="J32" s="8" t="inlineStr">
        <is>
          <t>Target build-up</t>
        </is>
      </c>
      <c r="K32" s="8" t="inlineStr">
        <is>
          <t>A</t>
        </is>
      </c>
      <c r="L32" s="8" t="inlineStr">
        <is>
          <t>Sí</t>
        </is>
      </c>
      <c r="M32" s="8" t="inlineStr">
        <is>
          <t>tcanalysis.com</t>
        </is>
      </c>
      <c r="N32" s="6" t="n"/>
      <c r="O32" s="6" t="n"/>
      <c r="P32" s="7" t="n"/>
      <c r="Q32" s="7" t="n"/>
    </row>
    <row r="33">
      <c r="A33" s="8" t="n">
        <v>29</v>
      </c>
      <c r="B33" s="8" t="inlineStr">
        <is>
          <t>Bloque 2 · Medición y dato recurrente</t>
        </is>
      </c>
      <c r="C33" s="8" t="inlineStr">
        <is>
          <t>Consultoría estratégica</t>
        </is>
      </c>
      <c r="D33" s="9" t="inlineStr">
        <is>
          <t>Idea Solutions</t>
        </is>
      </c>
      <c r="E33" s="8" t="inlineStr">
        <is>
          <t>Madrid (verificar)</t>
        </is>
      </c>
      <c r="F33" s="8" t="inlineStr">
        <is>
          <t>Independiente nacional</t>
        </is>
      </c>
      <c r="G33" s="8" t="inlineStr">
        <is>
          <t>Fundada en 2000</t>
        </is>
      </c>
      <c r="H33" s="8" t="inlineStr">
        <is>
          <t>Investigación estratégica y cualitativa para empresas, ONG e institutos internacionales; socio de ESOMAR e I+A</t>
        </is>
      </c>
      <c r="I33" s="8" t="inlineStr">
        <is>
          <t>Capa cualitativa-estratégica</t>
        </is>
      </c>
      <c r="J33" s="8" t="inlineStr">
        <is>
          <t>Target build-up</t>
        </is>
      </c>
      <c r="K33" s="8" t="inlineStr">
        <is>
          <t>B</t>
        </is>
      </c>
      <c r="L33" s="8" t="inlineStr">
        <is>
          <t>No</t>
        </is>
      </c>
      <c r="M33" s="8" t="inlineStr">
        <is>
          <t>idea-solutions.net</t>
        </is>
      </c>
      <c r="N33" s="6" t="n"/>
      <c r="O33" s="6" t="n"/>
      <c r="P33" s="7" t="n"/>
      <c r="Q33" s="7" t="n"/>
    </row>
    <row r="34">
      <c r="A34" s="8" t="n">
        <v>30</v>
      </c>
      <c r="B34" s="8" t="inlineStr">
        <is>
          <t>Bloque 2 · Medición y dato recurrente</t>
        </is>
      </c>
      <c r="C34" s="8" t="inlineStr">
        <is>
          <t>Consultoría estratégica</t>
        </is>
      </c>
      <c r="D34" s="9" t="inlineStr">
        <is>
          <t>Salvetti &amp; Llombart</t>
        </is>
      </c>
      <c r="E34" s="8" t="inlineStr">
        <is>
          <t>Barcelona</t>
        </is>
      </c>
      <c r="F34" s="8" t="inlineStr">
        <is>
          <t>Participada por PE</t>
        </is>
      </c>
      <c r="G34" s="8" t="inlineStr">
        <is>
          <t>Minerva Insights (Ufenau), jul-2023</t>
        </is>
      </c>
      <c r="H34" s="8" t="inlineStr">
        <is>
          <t>Consultoría estratégica e insights</t>
        </is>
      </c>
      <c r="I34" s="8" t="inlineStr">
        <is>
          <t>Precedente de la tesis; no disponible</t>
        </is>
      </c>
      <c r="J34" s="8" t="inlineStr">
        <is>
          <t>Precedente (ya en Minerva)</t>
        </is>
      </c>
      <c r="K34" s="8" t="inlineStr">
        <is>
          <t>C</t>
        </is>
      </c>
      <c r="L34" s="8" t="inlineStr">
        <is>
          <t>No</t>
        </is>
      </c>
      <c r="M34" s="8" t="inlineStr">
        <is>
          <t>salvetti-llombart.com</t>
        </is>
      </c>
      <c r="N34" s="6" t="n"/>
      <c r="O34" s="6" t="n"/>
      <c r="P34" s="7" t="n"/>
      <c r="Q34" s="7" t="n"/>
    </row>
    <row r="35">
      <c r="A35" s="10" t="n">
        <v>31</v>
      </c>
      <c r="B35" s="10" t="inlineStr">
        <is>
          <t>Bloque 3 · Tecnología e insights con IA</t>
        </is>
      </c>
      <c r="C35" s="10" t="inlineStr">
        <is>
          <t>Monitorización de medios</t>
        </is>
      </c>
      <c r="D35" s="11" t="inlineStr">
        <is>
          <t>MyNews</t>
        </is>
      </c>
      <c r="E35" s="10" t="inlineStr">
        <is>
          <t>Madrid</t>
        </is>
      </c>
      <c r="F35" s="10" t="inlineStr">
        <is>
          <t>Independiente nacional</t>
        </is>
      </c>
      <c r="G35" s="10" t="inlineStr">
        <is>
          <t>Verificar en SABI</t>
        </is>
      </c>
      <c r="H35" s="10" t="inlineStr">
        <is>
          <t>Hemeroteca digital y clipping automatizado; +200.000 fuentes</t>
        </is>
      </c>
      <c r="I35" s="10" t="inlineStr">
        <is>
          <t>SaaS recurrente de media monitoring</t>
        </is>
      </c>
      <c r="J35" s="10" t="inlineStr">
        <is>
          <t>Target build-up</t>
        </is>
      </c>
      <c r="K35" s="10" t="inlineStr">
        <is>
          <t>A</t>
        </is>
      </c>
      <c r="L35" s="10" t="inlineStr">
        <is>
          <t>Sí</t>
        </is>
      </c>
      <c r="M35" s="10" t="inlineStr">
        <is>
          <t>mynews.es</t>
        </is>
      </c>
      <c r="N35" s="6" t="n"/>
      <c r="O35" s="6" t="n"/>
      <c r="P35" s="7" t="n"/>
      <c r="Q35" s="7" t="n"/>
    </row>
    <row r="36">
      <c r="A36" s="10" t="n">
        <v>32</v>
      </c>
      <c r="B36" s="10" t="inlineStr">
        <is>
          <t>Bloque 3 · Tecnología e insights con IA</t>
        </is>
      </c>
      <c r="C36" s="10" t="inlineStr">
        <is>
          <t>Monitorización de medios</t>
        </is>
      </c>
      <c r="D36" s="11" t="inlineStr">
        <is>
          <t>Websays</t>
        </is>
      </c>
      <c r="E36" s="10" t="inlineStr">
        <is>
          <t>Barcelona</t>
        </is>
      </c>
      <c r="F36" s="10" t="inlineStr">
        <is>
          <t>Independiente nacional</t>
        </is>
      </c>
      <c r="G36" s="10" t="inlineStr">
        <is>
          <t>Verificar en SABI</t>
        </is>
      </c>
      <c r="H36" s="10" t="inlineStr">
        <is>
          <t>Plataforma de social listening y reputación con PLN e IA</t>
        </is>
      </c>
      <c r="I36" s="10" t="inlineStr">
        <is>
          <t>Escucha social con IA para marcas y pharma</t>
        </is>
      </c>
      <c r="J36" s="10" t="inlineStr">
        <is>
          <t>Target build-up</t>
        </is>
      </c>
      <c r="K36" s="10" t="inlineStr">
        <is>
          <t>A</t>
        </is>
      </c>
      <c r="L36" s="10" t="inlineStr">
        <is>
          <t>No</t>
        </is>
      </c>
      <c r="M36" s="10" t="inlineStr">
        <is>
          <t>websays.com</t>
        </is>
      </c>
      <c r="N36" s="6" t="n"/>
      <c r="O36" s="6" t="n"/>
      <c r="P36" s="7" t="n"/>
      <c r="Q36" s="7" t="n"/>
    </row>
    <row r="37">
      <c r="A37" s="10" t="n">
        <v>33</v>
      </c>
      <c r="B37" s="10" t="inlineStr">
        <is>
          <t>Bloque 3 · Tecnología e insights con IA</t>
        </is>
      </c>
      <c r="C37" s="10" t="inlineStr">
        <is>
          <t>Monitorización de medios</t>
        </is>
      </c>
      <c r="D37" s="11" t="inlineStr">
        <is>
          <t>Epsilon Technologies</t>
        </is>
      </c>
      <c r="E37" s="10" t="inlineStr">
        <is>
          <t>Madrid</t>
        </is>
      </c>
      <c r="F37" s="10" t="inlineStr">
        <is>
          <t>Independiente nacional</t>
        </is>
      </c>
      <c r="G37" s="10" t="inlineStr">
        <is>
          <t>Verificar en SABI</t>
        </is>
      </c>
      <c r="H37" s="10" t="inlineStr">
        <is>
          <t>Big data y analítica de redes sociales para marcas</t>
        </is>
      </c>
      <c r="I37" s="10" t="inlineStr">
        <is>
          <t>Social listening; alternativa a Websays</t>
        </is>
      </c>
      <c r="J37" s="10" t="inlineStr">
        <is>
          <t>Target build-up</t>
        </is>
      </c>
      <c r="K37" s="10" t="inlineStr">
        <is>
          <t>B</t>
        </is>
      </c>
      <c r="L37" s="10" t="inlineStr">
        <is>
          <t>No</t>
        </is>
      </c>
      <c r="M37" s="10" t="inlineStr">
        <is>
          <t>epsilontec.com</t>
        </is>
      </c>
      <c r="N37" s="6" t="n"/>
      <c r="O37" s="6" t="n"/>
      <c r="P37" s="7" t="n"/>
      <c r="Q37" s="7" t="n"/>
    </row>
    <row r="38">
      <c r="A38" s="10" t="n">
        <v>34</v>
      </c>
      <c r="B38" s="10" t="inlineStr">
        <is>
          <t>Bloque 3 · Tecnología e insights con IA</t>
        </is>
      </c>
      <c r="C38" s="10" t="inlineStr">
        <is>
          <t>Monitorización de medios</t>
        </is>
      </c>
      <c r="D38" s="11" t="inlineStr">
        <is>
          <t>Auditmedia Group</t>
        </is>
      </c>
      <c r="E38" s="10" t="inlineStr">
        <is>
          <t>Madrid</t>
        </is>
      </c>
      <c r="F38" s="10" t="inlineStr">
        <is>
          <t>Independiente nacional</t>
        </is>
      </c>
      <c r="G38" s="10" t="inlineStr">
        <is>
          <t>Verificar en SABI</t>
        </is>
      </c>
      <c r="H38" s="10" t="inlineStr">
        <is>
          <t>Clipping y análisis en prensa, digital, audiovisual y redes</t>
        </is>
      </c>
      <c r="I38" s="10" t="inlineStr">
        <is>
          <t>Consolidación del clipping</t>
        </is>
      </c>
      <c r="J38" s="10" t="inlineStr">
        <is>
          <t>Target build-up</t>
        </is>
      </c>
      <c r="K38" s="10" t="inlineStr">
        <is>
          <t>C</t>
        </is>
      </c>
      <c r="L38" s="10" t="inlineStr">
        <is>
          <t>No</t>
        </is>
      </c>
      <c r="M38" s="10" t="inlineStr">
        <is>
          <t>auditmedia.es</t>
        </is>
      </c>
      <c r="N38" s="6" t="n"/>
      <c r="O38" s="6" t="n"/>
      <c r="P38" s="7" t="n"/>
      <c r="Q38" s="7" t="n"/>
    </row>
    <row r="39">
      <c r="A39" s="10" t="n">
        <v>35</v>
      </c>
      <c r="B39" s="10" t="inlineStr">
        <is>
          <t>Bloque 3 · Tecnología e insights con IA</t>
        </is>
      </c>
      <c r="C39" s="10" t="inlineStr">
        <is>
          <t>Monitorización de medios</t>
        </is>
      </c>
      <c r="D39" s="11" t="inlineStr">
        <is>
          <t>Seguimedia</t>
        </is>
      </c>
      <c r="E39" s="10" t="inlineStr">
        <is>
          <t>Madrid</t>
        </is>
      </c>
      <c r="F39" s="10" t="inlineStr">
        <is>
          <t>Independiente nacional</t>
        </is>
      </c>
      <c r="G39" s="10" t="inlineStr">
        <is>
          <t>Grupo IFAT (España y Latam)</t>
        </is>
      </c>
      <c r="H39" s="10" t="inlineStr">
        <is>
          <t>Monitorización de TV, radio, internet y redes; 6 oficinas en España</t>
        </is>
      </c>
      <c r="I39" s="10" t="inlineStr">
        <is>
          <t>Red territorial; add-on</t>
        </is>
      </c>
      <c r="J39" s="10" t="inlineStr">
        <is>
          <t>Target build-up</t>
        </is>
      </c>
      <c r="K39" s="10" t="inlineStr">
        <is>
          <t>C</t>
        </is>
      </c>
      <c r="L39" s="10" t="inlineStr">
        <is>
          <t>No</t>
        </is>
      </c>
      <c r="M39" s="10" t="inlineStr">
        <is>
          <t>seguimedia.es</t>
        </is>
      </c>
      <c r="N39" s="6" t="n"/>
      <c r="O39" s="6" t="n"/>
      <c r="P39" s="7" t="n"/>
      <c r="Q39" s="7" t="n"/>
    </row>
    <row r="40">
      <c r="A40" s="10" t="n">
        <v>36</v>
      </c>
      <c r="B40" s="10" t="inlineStr">
        <is>
          <t>Bloque 3 · Tecnología e insights con IA</t>
        </is>
      </c>
      <c r="C40" s="10" t="inlineStr">
        <is>
          <t>Ad intelligence</t>
        </is>
      </c>
      <c r="D40" s="11" t="inlineStr">
        <is>
          <t>InfoAdex</t>
        </is>
      </c>
      <c r="E40" s="10" t="inlineStr">
        <is>
          <t>Madrid</t>
        </is>
      </c>
      <c r="F40" s="10" t="inlineStr">
        <is>
          <t>Independiente nacional</t>
        </is>
      </c>
      <c r="G40" s="10" t="inlineStr">
        <is>
          <t>Verificar en SABI</t>
        </is>
      </c>
      <c r="H40" s="10" t="inlineStr">
        <is>
          <t>Fuente de referencia de inversión publicitaria en España (~95% de la inversión controlada)</t>
        </is>
      </c>
      <c r="I40" s="10" t="inlineStr">
        <is>
          <t>Dato sindicado y recurrente; activo ancla del bloque</t>
        </is>
      </c>
      <c r="J40" s="10" t="inlineStr">
        <is>
          <t>Target build-up</t>
        </is>
      </c>
      <c r="K40" s="10" t="inlineStr">
        <is>
          <t>A</t>
        </is>
      </c>
      <c r="L40" s="10" t="inlineStr">
        <is>
          <t>Sí</t>
        </is>
      </c>
      <c r="M40" s="10" t="inlineStr">
        <is>
          <t>infoadex.es</t>
        </is>
      </c>
      <c r="N40" s="6" t="n"/>
      <c r="O40" s="6" t="n"/>
      <c r="P40" s="7" t="n"/>
      <c r="Q40" s="7" t="n"/>
    </row>
    <row r="41">
      <c r="A41" s="10" t="n">
        <v>37</v>
      </c>
      <c r="B41" s="10" t="inlineStr">
        <is>
          <t>Bloque 3 · Tecnología e insights con IA</t>
        </is>
      </c>
      <c r="C41" s="10" t="inlineStr">
        <is>
          <t>Ad intelligence</t>
        </is>
      </c>
      <c r="D41" s="11" t="inlineStr">
        <is>
          <t>Arce Media</t>
        </is>
      </c>
      <c r="E41" s="10" t="inlineStr">
        <is>
          <t>Madrid</t>
        </is>
      </c>
      <c r="F41" s="10" t="inlineStr">
        <is>
          <t>Independiente nacional</t>
        </is>
      </c>
      <c r="G41" s="10" t="inlineStr">
        <is>
          <t>Verificar en SABI</t>
        </is>
      </c>
      <c r="H41" s="10" t="inlineStr">
        <is>
          <t>Control de actividad publicitaria (ex estudio i2p con Media Hotline)</t>
        </is>
      </c>
      <c r="I41" s="10" t="inlineStr">
        <is>
          <t>Alternativa o complemento a InfoAdex</t>
        </is>
      </c>
      <c r="J41" s="10" t="inlineStr">
        <is>
          <t>Target build-up</t>
        </is>
      </c>
      <c r="K41" s="10" t="inlineStr">
        <is>
          <t>B</t>
        </is>
      </c>
      <c r="L41" s="10" t="inlineStr">
        <is>
          <t>No</t>
        </is>
      </c>
      <c r="M41" s="10" t="inlineStr">
        <is>
          <t>arcemedia.es</t>
        </is>
      </c>
      <c r="N41" s="6" t="n"/>
      <c r="O41" s="6" t="n"/>
      <c r="P41" s="7" t="n"/>
      <c r="Q41" s="7" t="n"/>
    </row>
    <row r="42">
      <c r="A42" s="10" t="n">
        <v>38</v>
      </c>
      <c r="B42" s="10" t="inlineStr">
        <is>
          <t>Bloque 3 · Tecnología e insights con IA</t>
        </is>
      </c>
      <c r="C42" s="10" t="inlineStr">
        <is>
          <t>Ad intelligence</t>
        </is>
      </c>
      <c r="D42" s="11" t="inlineStr">
        <is>
          <t>Adjinn</t>
        </is>
      </c>
      <c r="E42" s="10" t="inlineStr">
        <is>
          <t>Madrid</t>
        </is>
      </c>
      <c r="F42" s="10" t="inlineStr">
        <is>
          <t>Participada por PE</t>
        </is>
      </c>
      <c r="G42" s="10" t="inlineStr">
        <is>
          <t>Minerva Insights (Ufenau), ene-2025</t>
        </is>
      </c>
      <c r="H42" s="10" t="inlineStr">
        <is>
          <t>Ad intelligence digital con big data y machine learning</t>
        </is>
      </c>
      <c r="I42" s="10" t="inlineStr">
        <is>
          <t>Precedente de la tesis; no disponible</t>
        </is>
      </c>
      <c r="J42" s="10" t="inlineStr">
        <is>
          <t>Precedente (ya en Minerva)</t>
        </is>
      </c>
      <c r="K42" s="10" t="inlineStr">
        <is>
          <t>C</t>
        </is>
      </c>
      <c r="L42" s="10" t="inlineStr">
        <is>
          <t>No</t>
        </is>
      </c>
      <c r="M42" s="10" t="inlineStr">
        <is>
          <t>adjinn.com</t>
        </is>
      </c>
      <c r="N42" s="6" t="n"/>
      <c r="O42" s="6" t="n"/>
      <c r="P42" s="7" t="n"/>
      <c r="Q42" s="7" t="n"/>
    </row>
    <row r="43">
      <c r="A43" s="10" t="n">
        <v>39</v>
      </c>
      <c r="B43" s="10" t="inlineStr">
        <is>
          <t>Bloque 3 · Tecnología e insights con IA</t>
        </is>
      </c>
      <c r="C43" s="10" t="inlineStr">
        <is>
          <t>Software de analítica</t>
        </is>
      </c>
      <c r="D43" s="11" t="inlineStr">
        <is>
          <t>ODEC</t>
        </is>
      </c>
      <c r="E43" s="10" t="inlineStr">
        <is>
          <t>Gandía (Valencia)</t>
        </is>
      </c>
      <c r="F43" s="10" t="inlineStr">
        <is>
          <t>Independiente nacional</t>
        </is>
      </c>
      <c r="G43" s="10" t="inlineStr">
        <is>
          <t>Verificar en SABI</t>
        </is>
      </c>
      <c r="H43" s="10" t="inlineStr">
        <is>
          <t>Tecnología para la investigación: CATI/CAWI, proceso y tabulación de datos, estudios continuos y software de planificación de medios (TOM Micro); +200 empleados; socio de I+A España</t>
        </is>
      </c>
      <c r="I43" s="10" t="inlineStr">
        <is>
          <t>Plataforma tecnológica de proceso de datos que hoy usan los institutos; escala</t>
        </is>
      </c>
      <c r="J43" s="10" t="inlineStr">
        <is>
          <t>Target build-up</t>
        </is>
      </c>
      <c r="K43" s="10" t="inlineStr">
        <is>
          <t>A</t>
        </is>
      </c>
      <c r="L43" s="10" t="inlineStr">
        <is>
          <t>Sí</t>
        </is>
      </c>
      <c r="M43" s="10" t="inlineStr">
        <is>
          <t>odec.es</t>
        </is>
      </c>
      <c r="N43" s="6" t="n"/>
      <c r="O43" s="6" t="n"/>
      <c r="P43" s="7" t="n"/>
      <c r="Q43" s="7" t="n"/>
    </row>
    <row r="44">
      <c r="A44" s="10" t="n">
        <v>40</v>
      </c>
      <c r="B44" s="10" t="inlineStr">
        <is>
          <t>Bloque 3 · Tecnología e insights con IA</t>
        </is>
      </c>
      <c r="C44" s="10" t="inlineStr">
        <is>
          <t>Software de analítica</t>
        </is>
      </c>
      <c r="D44" s="11" t="inlineStr">
        <is>
          <t>We Are Testers</t>
        </is>
      </c>
      <c r="E44" s="10" t="inlineStr">
        <is>
          <t>Bilbao / Madrid</t>
        </is>
      </c>
      <c r="F44" s="10" t="inlineStr">
        <is>
          <t>Independiente nacional</t>
        </is>
      </c>
      <c r="G44" s="10" t="inlineStr">
        <is>
          <t>Fundada en 2016</t>
        </is>
      </c>
      <c r="H44" s="10" t="inlineStr">
        <is>
          <t>Plataforma de investigación y UX research con panel propio de 120.000 consumidores; socio de I+A España</t>
        </is>
      </c>
      <c r="I44" s="10" t="inlineStr">
        <is>
          <t>Plataforma + panel propio: pasa a Psyma a modelo tecnológico</t>
        </is>
      </c>
      <c r="J44" s="10" t="inlineStr">
        <is>
          <t>Target build-up</t>
        </is>
      </c>
      <c r="K44" s="10" t="inlineStr">
        <is>
          <t>A</t>
        </is>
      </c>
      <c r="L44" s="10" t="inlineStr">
        <is>
          <t>Sí</t>
        </is>
      </c>
      <c r="M44" s="10" t="inlineStr">
        <is>
          <t>wearetesters.com</t>
        </is>
      </c>
      <c r="N44" s="6" t="n"/>
      <c r="O44" s="6" t="n"/>
      <c r="P44" s="7" t="n"/>
      <c r="Q44" s="7" t="n"/>
    </row>
    <row r="45">
      <c r="A45" s="10" t="n">
        <v>41</v>
      </c>
      <c r="B45" s="10" t="inlineStr">
        <is>
          <t>Bloque 3 · Tecnología e insights con IA</t>
        </is>
      </c>
      <c r="C45" s="10" t="inlineStr">
        <is>
          <t>Software de analítica</t>
        </is>
      </c>
      <c r="D45" s="11" t="inlineStr">
        <is>
          <t>EncuestaFacil</t>
        </is>
      </c>
      <c r="E45" s="10" t="inlineStr">
        <is>
          <t>Madrid</t>
        </is>
      </c>
      <c r="F45" s="10" t="inlineStr">
        <is>
          <t>Independiente nacional</t>
        </is>
      </c>
      <c r="G45" s="10" t="inlineStr">
        <is>
          <t>Verificar en SABI</t>
        </is>
      </c>
      <c r="H45" s="10" t="inlineStr">
        <is>
          <t>Software de encuestas online (SaaS) para España y Latam</t>
        </is>
      </c>
      <c r="I45" s="10" t="inlineStr">
        <is>
          <t>Herramienta de campo online propia</t>
        </is>
      </c>
      <c r="J45" s="10" t="inlineStr">
        <is>
          <t>Target build-up</t>
        </is>
      </c>
      <c r="K45" s="10" t="inlineStr">
        <is>
          <t>B</t>
        </is>
      </c>
      <c r="L45" s="10" t="inlineStr">
        <is>
          <t>No</t>
        </is>
      </c>
      <c r="M45" s="10" t="inlineStr">
        <is>
          <t>encuestafacil.com</t>
        </is>
      </c>
      <c r="N45" s="6" t="n"/>
      <c r="O45" s="6" t="n"/>
      <c r="P45" s="7" t="n"/>
      <c r="Q45" s="7" t="n"/>
    </row>
    <row r="46">
      <c r="A46" s="10" t="n">
        <v>42</v>
      </c>
      <c r="B46" s="10" t="inlineStr">
        <is>
          <t>Bloque 3 · Tecnología e insights con IA</t>
        </is>
      </c>
      <c r="C46" s="10" t="inlineStr">
        <is>
          <t>Insights automatizados con IA</t>
        </is>
      </c>
      <c r="D46" s="11" t="inlineStr">
        <is>
          <t>Zinklar</t>
        </is>
      </c>
      <c r="E46" s="10" t="inlineStr">
        <is>
          <t>Barcelona</t>
        </is>
      </c>
      <c r="F46" s="10" t="inlineStr">
        <is>
          <t>Participada por VC</t>
        </is>
      </c>
      <c r="G46" s="10" t="inlineStr">
        <is>
          <t>VC: Serie A de 5,5 M€ liderada por Caixa Capital Risc (7,6 M€ en total)</t>
        </is>
      </c>
      <c r="H46" s="10" t="inlineStr">
        <is>
          <t>Plataforma de insights automatizados con IA: test de conceptos, publicidad y trackings; ~60 empleados</t>
        </is>
      </c>
      <c r="I46" s="10" t="inlineStr">
        <is>
          <t>Automatiza estudios con IA; el activo más claro del bloque</t>
        </is>
      </c>
      <c r="J46" s="10" t="inlineStr">
        <is>
          <t>Target build-up</t>
        </is>
      </c>
      <c r="K46" s="10" t="inlineStr">
        <is>
          <t>A</t>
        </is>
      </c>
      <c r="L46" s="10" t="inlineStr">
        <is>
          <t>Sí</t>
        </is>
      </c>
      <c r="M46" s="10" t="inlineStr">
        <is>
          <t>zinklar.com</t>
        </is>
      </c>
      <c r="N46" s="6" t="n"/>
      <c r="O46" s="6" t="n"/>
      <c r="P46" s="7" t="n"/>
      <c r="Q46" s="7" t="n"/>
    </row>
    <row r="47">
      <c r="A47" s="10" t="n">
        <v>43</v>
      </c>
      <c r="B47" s="10" t="inlineStr">
        <is>
          <t>Bloque 3 · Tecnología e insights con IA</t>
        </is>
      </c>
      <c r="C47" s="10" t="inlineStr">
        <is>
          <t>Insights automatizados con IA</t>
        </is>
      </c>
      <c r="D47" s="11" t="inlineStr">
        <is>
          <t>Sentisis</t>
        </is>
      </c>
      <c r="E47" s="10" t="inlineStr">
        <is>
          <t>Madrid</t>
        </is>
      </c>
      <c r="F47" s="10" t="inlineStr">
        <is>
          <t>Participada por VC</t>
        </is>
      </c>
      <c r="G47" s="10" t="inlineStr">
        <is>
          <t>Verificar en SABI</t>
        </is>
      </c>
      <c r="H47" s="10" t="inlineStr">
        <is>
          <t>Análisis con IA de opiniones de clientes y respuestas abiertas</t>
        </is>
      </c>
      <c r="I47" s="10" t="inlineStr">
        <is>
          <t>Codificación automática de preguntas abiertas y CX</t>
        </is>
      </c>
      <c r="J47" s="10" t="inlineStr">
        <is>
          <t>Target build-up</t>
        </is>
      </c>
      <c r="K47" s="10" t="inlineStr">
        <is>
          <t>B</t>
        </is>
      </c>
      <c r="L47" s="10" t="inlineStr">
        <is>
          <t>No</t>
        </is>
      </c>
      <c r="M47" s="10" t="inlineStr">
        <is>
          <t>sentisis.com</t>
        </is>
      </c>
      <c r="N47" s="6" t="n"/>
      <c r="O47" s="6" t="n"/>
      <c r="P47" s="7" t="n"/>
      <c r="Q47" s="7" t="n"/>
    </row>
    <row r="48">
      <c r="A48" s="10" t="n">
        <v>44</v>
      </c>
      <c r="B48" s="10" t="inlineStr">
        <is>
          <t>Bloque 3 · Tecnología e insights con IA</t>
        </is>
      </c>
      <c r="C48" s="10" t="inlineStr">
        <is>
          <t>Insights automatizados con IA</t>
        </is>
      </c>
      <c r="D48" s="11" t="inlineStr">
        <is>
          <t>Emotion Research Lab</t>
        </is>
      </c>
      <c r="E48" s="10" t="inlineStr">
        <is>
          <t>Valencia</t>
        </is>
      </c>
      <c r="F48" s="10" t="inlineStr">
        <is>
          <t>Independiente nacional</t>
        </is>
      </c>
      <c r="G48" s="10" t="inlineStr">
        <is>
          <t>Verificar en SABI</t>
        </is>
      </c>
      <c r="H48" s="10" t="inlineStr">
        <is>
          <t>IA de reconocimiento de emociones para test de publicidad</t>
        </is>
      </c>
      <c r="I48" s="10" t="inlineStr">
        <is>
          <t>Test de creatividades con IA</t>
        </is>
      </c>
      <c r="J48" s="10" t="inlineStr">
        <is>
          <t>Target build-up</t>
        </is>
      </c>
      <c r="K48" s="10" t="inlineStr">
        <is>
          <t>C</t>
        </is>
      </c>
      <c r="L48" s="10" t="inlineStr">
        <is>
          <t>No</t>
        </is>
      </c>
      <c r="M48" s="10" t="inlineStr">
        <is>
          <t>emotionresearchlab.com</t>
        </is>
      </c>
      <c r="N48" s="6" t="n"/>
      <c r="O48" s="6" t="n"/>
      <c r="P48" s="7" t="n"/>
      <c r="Q48" s="7" t="n"/>
    </row>
    <row r="49">
      <c r="A49" s="10" t="n">
        <v>45</v>
      </c>
      <c r="B49" s="10" t="inlineStr">
        <is>
          <t>Bloque 3 · Tecnología e insights con IA</t>
        </is>
      </c>
      <c r="C49" s="10" t="inlineStr">
        <is>
          <t>Insights automatizados con IA</t>
        </is>
      </c>
      <c r="D49" s="11" t="inlineStr">
        <is>
          <t>Cuxtomers</t>
        </is>
      </c>
      <c r="E49" s="10" t="inlineStr">
        <is>
          <t>España</t>
        </is>
      </c>
      <c r="F49" s="10" t="inlineStr">
        <is>
          <t>Startup</t>
        </is>
      </c>
      <c r="G49" s="10" t="inlineStr">
        <is>
          <t>Verificar en SABI</t>
        </is>
      </c>
      <c r="H49" s="10" t="inlineStr">
        <is>
          <t>Clientes sintéticos con LLM para investigación</t>
        </is>
      </c>
      <c r="I49" s="10" t="inlineStr">
        <is>
          <t>Opción early-stage (participación minoritaria)</t>
        </is>
      </c>
      <c r="J49" s="10" t="inlineStr">
        <is>
          <t>Target build-up</t>
        </is>
      </c>
      <c r="K49" s="10" t="inlineStr">
        <is>
          <t>C</t>
        </is>
      </c>
      <c r="L49" s="10" t="inlineStr">
        <is>
          <t>No</t>
        </is>
      </c>
      <c r="M49" s="10" t="inlineStr">
        <is>
          <t>cuxtomers.com</t>
        </is>
      </c>
      <c r="N49" s="6" t="n"/>
      <c r="O49" s="6" t="n"/>
      <c r="P49" s="7" t="n"/>
      <c r="Q49" s="7" t="n"/>
    </row>
    <row r="51">
      <c r="A51" s="12" t="inlineStr">
        <is>
          <t>Prioridad: A = target prioritario (tamaño y encaje), B = add-on, C = no adquirible / benchmark. 'Verificar en SABI' = propiedad no confirmada en fuentes públicas.</t>
        </is>
      </c>
    </row>
    <row r="52">
      <c r="A52" s="12" t="inlineStr">
        <is>
          <t>Criterio: solo empresas del sector insights en España (socios de I+A España o equivalentes). Fuentes: Insights + Analytics España (2024) y su directorio de empresas; prensa sectorial (elEconomista, Dircomfidencial, Webcapitalriesgo, Marketing Directo, Panorama Audiovisual); webs corporativas; análisis Afianza.</t>
        </is>
      </c>
    </row>
  </sheetData>
  <autoFilter ref="A4:Q49"/>
  <dataValidations count="1">
    <dataValidation sqref="K5:K49" showDropDown="0" showInputMessage="0" showErrorMessage="0" allowBlank="0" type="list">
      <formula1>"A,B,C"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12" customWidth="1" min="3" max="3"/>
    <col width="10" customWidth="1" min="4" max="4"/>
    <col width="12" customWidth="1" min="5" max="5"/>
    <col width="22" customWidth="1" min="6" max="6"/>
  </cols>
  <sheetData>
    <row r="1">
      <c r="A1" s="13" t="inlineStr">
        <is>
          <t>Resumen por bloque y subactividad</t>
        </is>
      </c>
    </row>
    <row r="3">
      <c r="A3" s="14" t="inlineStr">
        <is>
          <t>Bloque</t>
        </is>
      </c>
      <c r="B3" s="14" t="inlineStr">
        <is>
          <t>Subactividad</t>
        </is>
      </c>
      <c r="C3" s="14" t="inlineStr">
        <is>
          <t>Nº empresas</t>
        </is>
      </c>
      <c r="D3" s="14" t="inlineStr">
        <is>
          <t>Targets</t>
        </is>
      </c>
      <c r="E3" s="14" t="inlineStr">
        <is>
          <t>Prioridad A</t>
        </is>
      </c>
      <c r="F3" s="14" t="inlineStr">
        <is>
          <t>Facturación agregada (M€)</t>
        </is>
      </c>
    </row>
    <row r="4">
      <c r="A4" s="15" t="inlineStr">
        <is>
          <t>Bloque 1 · Otros sectores</t>
        </is>
      </c>
      <c r="B4" s="15" t="inlineStr">
        <is>
          <t>Consumo y retail</t>
        </is>
      </c>
      <c r="C4" s="15">
        <f>COUNTIFS('Long list'!$B$5:$B$49,A4,'Long list'!$C$5:$C$49,B4)</f>
        <v/>
      </c>
      <c r="D4" s="15">
        <f>COUNTIFS('Long list'!$B$5:$B$49,A4,'Long list'!$C$5:$C$49,B4,'Long list'!$J$5:$J$49,"Target build-up")</f>
        <v/>
      </c>
      <c r="E4" s="15">
        <f>COUNTIFS('Long list'!$B$5:$B$49,A4,'Long list'!$C$5:$C$49,B4,'Long list'!$K$5:$K$49,"A")</f>
        <v/>
      </c>
      <c r="F4" s="16">
        <f>SUMIFS('Long list'!$N$5:$N$49,'Long list'!$B$5:$B$49,A4,'Long list'!$C$5:$C$49,B4)</f>
        <v/>
      </c>
    </row>
    <row r="5">
      <c r="A5" s="15" t="inlineStr">
        <is>
          <t>Bloque 1 · Otros sectores</t>
        </is>
      </c>
      <c r="B5" s="15" t="inlineStr">
        <is>
          <t>Financiero / telco / B2B</t>
        </is>
      </c>
      <c r="C5" s="15">
        <f>COUNTIFS('Long list'!$B$5:$B$49,A5,'Long list'!$C$5:$C$49,B5)</f>
        <v/>
      </c>
      <c r="D5" s="15">
        <f>COUNTIFS('Long list'!$B$5:$B$49,A5,'Long list'!$C$5:$C$49,B5,'Long list'!$J$5:$J$49,"Target build-up")</f>
        <v/>
      </c>
      <c r="E5" s="15">
        <f>COUNTIFS('Long list'!$B$5:$B$49,A5,'Long list'!$C$5:$C$49,B5,'Long list'!$K$5:$K$49,"A")</f>
        <v/>
      </c>
      <c r="F5" s="16">
        <f>SUMIFS('Long list'!$N$5:$N$49,'Long list'!$B$5:$B$49,A5,'Long list'!$C$5:$C$49,B5)</f>
        <v/>
      </c>
    </row>
    <row r="6">
      <c r="A6" s="15" t="inlineStr">
        <is>
          <t>Bloque 1 · Otros sectores</t>
        </is>
      </c>
      <c r="B6" s="15" t="inlineStr">
        <is>
          <t>Opinión y sector público</t>
        </is>
      </c>
      <c r="C6" s="15">
        <f>COUNTIFS('Long list'!$B$5:$B$49,A6,'Long list'!$C$5:$C$49,B6)</f>
        <v/>
      </c>
      <c r="D6" s="15">
        <f>COUNTIFS('Long list'!$B$5:$B$49,A6,'Long list'!$C$5:$C$49,B6,'Long list'!$J$5:$J$49,"Target build-up")</f>
        <v/>
      </c>
      <c r="E6" s="15">
        <f>COUNTIFS('Long list'!$B$5:$B$49,A6,'Long list'!$C$5:$C$49,B6,'Long list'!$K$5:$K$49,"A")</f>
        <v/>
      </c>
      <c r="F6" s="16">
        <f>SUMIFS('Long list'!$N$5:$N$49,'Long list'!$B$5:$B$49,A6,'Long list'!$C$5:$C$49,B6)</f>
        <v/>
      </c>
    </row>
    <row r="7">
      <c r="A7" s="15" t="inlineStr">
        <is>
          <t>Bloque 2 · Medición y dato recurrente</t>
        </is>
      </c>
      <c r="B7" s="15" t="inlineStr">
        <is>
          <t>Trackings de marca</t>
        </is>
      </c>
      <c r="C7" s="15">
        <f>COUNTIFS('Long list'!$B$5:$B$49,A7,'Long list'!$C$5:$C$49,B7)</f>
        <v/>
      </c>
      <c r="D7" s="15">
        <f>COUNTIFS('Long list'!$B$5:$B$49,A7,'Long list'!$C$5:$C$49,B7,'Long list'!$J$5:$J$49,"Target build-up")</f>
        <v/>
      </c>
      <c r="E7" s="15">
        <f>COUNTIFS('Long list'!$B$5:$B$49,A7,'Long list'!$C$5:$C$49,B7,'Long list'!$K$5:$K$49,"A")</f>
        <v/>
      </c>
      <c r="F7" s="16">
        <f>SUMIFS('Long list'!$N$5:$N$49,'Long list'!$B$5:$B$49,A7,'Long list'!$C$5:$C$49,B7)</f>
        <v/>
      </c>
    </row>
    <row r="8">
      <c r="A8" s="15" t="inlineStr">
        <is>
          <t>Bloque 2 · Medición y dato recurrente</t>
        </is>
      </c>
      <c r="B8" s="15" t="inlineStr">
        <is>
          <t>Experiencia de cliente y paciente</t>
        </is>
      </c>
      <c r="C8" s="15">
        <f>COUNTIFS('Long list'!$B$5:$B$49,A8,'Long list'!$C$5:$C$49,B8)</f>
        <v/>
      </c>
      <c r="D8" s="15">
        <f>COUNTIFS('Long list'!$B$5:$B$49,A8,'Long list'!$C$5:$C$49,B8,'Long list'!$J$5:$J$49,"Target build-up")</f>
        <v/>
      </c>
      <c r="E8" s="15">
        <f>COUNTIFS('Long list'!$B$5:$B$49,A8,'Long list'!$C$5:$C$49,B8,'Long list'!$K$5:$K$49,"A")</f>
        <v/>
      </c>
      <c r="F8" s="16">
        <f>SUMIFS('Long list'!$N$5:$N$49,'Long list'!$B$5:$B$49,A8,'Long list'!$C$5:$C$49,B8)</f>
        <v/>
      </c>
    </row>
    <row r="9">
      <c r="A9" s="15" t="inlineStr">
        <is>
          <t>Bloque 2 · Medición y dato recurrente</t>
        </is>
      </c>
      <c r="B9" s="15" t="inlineStr">
        <is>
          <t>Medición de audiencias</t>
        </is>
      </c>
      <c r="C9" s="15">
        <f>COUNTIFS('Long list'!$B$5:$B$49,A9,'Long list'!$C$5:$C$49,B9)</f>
        <v/>
      </c>
      <c r="D9" s="15">
        <f>COUNTIFS('Long list'!$B$5:$B$49,A9,'Long list'!$C$5:$C$49,B9,'Long list'!$J$5:$J$49,"Target build-up")</f>
        <v/>
      </c>
      <c r="E9" s="15">
        <f>COUNTIFS('Long list'!$B$5:$B$49,A9,'Long list'!$C$5:$C$49,B9,'Long list'!$K$5:$K$49,"A")</f>
        <v/>
      </c>
      <c r="F9" s="16">
        <f>SUMIFS('Long list'!$N$5:$N$49,'Long list'!$B$5:$B$49,A9,'Long list'!$C$5:$C$49,B9)</f>
        <v/>
      </c>
    </row>
    <row r="10">
      <c r="A10" s="15" t="inlineStr">
        <is>
          <t>Bloque 2 · Medición y dato recurrente</t>
        </is>
      </c>
      <c r="B10" s="15" t="inlineStr">
        <is>
          <t>Consultoría estratégica</t>
        </is>
      </c>
      <c r="C10" s="15">
        <f>COUNTIFS('Long list'!$B$5:$B$49,A10,'Long list'!$C$5:$C$49,B10)</f>
        <v/>
      </c>
      <c r="D10" s="15">
        <f>COUNTIFS('Long list'!$B$5:$B$49,A10,'Long list'!$C$5:$C$49,B10,'Long list'!$J$5:$J$49,"Target build-up")</f>
        <v/>
      </c>
      <c r="E10" s="15">
        <f>COUNTIFS('Long list'!$B$5:$B$49,A10,'Long list'!$C$5:$C$49,B10,'Long list'!$K$5:$K$49,"A")</f>
        <v/>
      </c>
      <c r="F10" s="16">
        <f>SUMIFS('Long list'!$N$5:$N$49,'Long list'!$B$5:$B$49,A10,'Long list'!$C$5:$C$49,B10)</f>
        <v/>
      </c>
    </row>
    <row r="11">
      <c r="A11" s="15" t="inlineStr">
        <is>
          <t>Bloque 3 · Tecnología e insights con IA</t>
        </is>
      </c>
      <c r="B11" s="15" t="inlineStr">
        <is>
          <t>Monitorización de medios</t>
        </is>
      </c>
      <c r="C11" s="15">
        <f>COUNTIFS('Long list'!$B$5:$B$49,A11,'Long list'!$C$5:$C$49,B11)</f>
        <v/>
      </c>
      <c r="D11" s="15">
        <f>COUNTIFS('Long list'!$B$5:$B$49,A11,'Long list'!$C$5:$C$49,B11,'Long list'!$J$5:$J$49,"Target build-up")</f>
        <v/>
      </c>
      <c r="E11" s="15">
        <f>COUNTIFS('Long list'!$B$5:$B$49,A11,'Long list'!$C$5:$C$49,B11,'Long list'!$K$5:$K$49,"A")</f>
        <v/>
      </c>
      <c r="F11" s="16">
        <f>SUMIFS('Long list'!$N$5:$N$49,'Long list'!$B$5:$B$49,A11,'Long list'!$C$5:$C$49,B11)</f>
        <v/>
      </c>
    </row>
    <row r="12">
      <c r="A12" s="15" t="inlineStr">
        <is>
          <t>Bloque 3 · Tecnología e insights con IA</t>
        </is>
      </c>
      <c r="B12" s="15" t="inlineStr">
        <is>
          <t>Ad intelligence</t>
        </is>
      </c>
      <c r="C12" s="15">
        <f>COUNTIFS('Long list'!$B$5:$B$49,A12,'Long list'!$C$5:$C$49,B12)</f>
        <v/>
      </c>
      <c r="D12" s="15">
        <f>COUNTIFS('Long list'!$B$5:$B$49,A12,'Long list'!$C$5:$C$49,B12,'Long list'!$J$5:$J$49,"Target build-up")</f>
        <v/>
      </c>
      <c r="E12" s="15">
        <f>COUNTIFS('Long list'!$B$5:$B$49,A12,'Long list'!$C$5:$C$49,B12,'Long list'!$K$5:$K$49,"A")</f>
        <v/>
      </c>
      <c r="F12" s="16">
        <f>SUMIFS('Long list'!$N$5:$N$49,'Long list'!$B$5:$B$49,A12,'Long list'!$C$5:$C$49,B12)</f>
        <v/>
      </c>
    </row>
    <row r="13">
      <c r="A13" s="15" t="inlineStr">
        <is>
          <t>Bloque 3 · Tecnología e insights con IA</t>
        </is>
      </c>
      <c r="B13" s="15" t="inlineStr">
        <is>
          <t>Software de analítica</t>
        </is>
      </c>
      <c r="C13" s="15">
        <f>COUNTIFS('Long list'!$B$5:$B$49,A13,'Long list'!$C$5:$C$49,B13)</f>
        <v/>
      </c>
      <c r="D13" s="15">
        <f>COUNTIFS('Long list'!$B$5:$B$49,A13,'Long list'!$C$5:$C$49,B13,'Long list'!$J$5:$J$49,"Target build-up")</f>
        <v/>
      </c>
      <c r="E13" s="15">
        <f>COUNTIFS('Long list'!$B$5:$B$49,A13,'Long list'!$C$5:$C$49,B13,'Long list'!$K$5:$K$49,"A")</f>
        <v/>
      </c>
      <c r="F13" s="16">
        <f>SUMIFS('Long list'!$N$5:$N$49,'Long list'!$B$5:$B$49,A13,'Long list'!$C$5:$C$49,B13)</f>
        <v/>
      </c>
    </row>
    <row r="14">
      <c r="A14" s="15" t="inlineStr">
        <is>
          <t>Bloque 3 · Tecnología e insights con IA</t>
        </is>
      </c>
      <c r="B14" s="15" t="inlineStr">
        <is>
          <t>Insights automatizados con IA</t>
        </is>
      </c>
      <c r="C14" s="15">
        <f>COUNTIFS('Long list'!$B$5:$B$49,A14,'Long list'!$C$5:$C$49,B14)</f>
        <v/>
      </c>
      <c r="D14" s="15">
        <f>COUNTIFS('Long list'!$B$5:$B$49,A14,'Long list'!$C$5:$C$49,B14,'Long list'!$J$5:$J$49,"Target build-up")</f>
        <v/>
      </c>
      <c r="E14" s="15">
        <f>COUNTIFS('Long list'!$B$5:$B$49,A14,'Long list'!$C$5:$C$49,B14,'Long list'!$K$5:$K$49,"A")</f>
        <v/>
      </c>
      <c r="F14" s="16">
        <f>SUMIFS('Long list'!$N$5:$N$49,'Long list'!$B$5:$B$49,A14,'Long list'!$C$5:$C$49,B14)</f>
        <v/>
      </c>
    </row>
    <row r="15">
      <c r="A15" s="17" t="inlineStr">
        <is>
          <t>Total</t>
        </is>
      </c>
      <c r="B15" s="15" t="n"/>
      <c r="C15" s="17">
        <f>SUM(C4:C14)</f>
        <v/>
      </c>
      <c r="D15" s="17">
        <f>SUM(D4:D14)</f>
        <v/>
      </c>
      <c r="E15" s="17">
        <f>SUM(E4:E14)</f>
        <v/>
      </c>
      <c r="F15" s="18">
        <f>SUM(F4:F14)</f>
        <v/>
      </c>
    </row>
    <row r="17">
      <c r="A17" s="12" t="inlineStr">
        <is>
          <t>Comprobación: 15 empresas por bloque</t>
        </is>
      </c>
    </row>
    <row r="18">
      <c r="A18" s="19" t="inlineStr">
        <is>
          <t>Bloque 1 · Otros sectores</t>
        </is>
      </c>
      <c r="C18" s="19">
        <f>COUNTIF('Long list'!$B$5:$B$49,A18)</f>
        <v/>
      </c>
    </row>
    <row r="19">
      <c r="A19" s="19" t="inlineStr">
        <is>
          <t>Bloque 2 · Medición y dato recurrente</t>
        </is>
      </c>
      <c r="C19" s="19">
        <f>COUNTIF('Long list'!$B$5:$B$49,A19)</f>
        <v/>
      </c>
    </row>
    <row r="20">
      <c r="A20" s="19" t="inlineStr">
        <is>
          <t>Bloque 3 · Tecnología e insights con IA</t>
        </is>
      </c>
      <c r="C20" s="19">
        <f>COUNTIF('Long list'!$B$5:$B$49,A20)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5" customWidth="1" min="3" max="3"/>
    <col width="13" customWidth="1" min="4" max="4"/>
    <col width="50" customWidth="1" min="5" max="5"/>
  </cols>
  <sheetData>
    <row r="1">
      <c r="A1" s="13" t="inlineStr">
        <is>
          <t>Cinco targets destacados por bloque (alimenta las láminas 31-33 del deck)</t>
        </is>
      </c>
    </row>
    <row r="3">
      <c r="A3" s="20" t="inlineStr">
        <is>
          <t>Bloque 1 · Otros sectores</t>
        </is>
      </c>
    </row>
    <row r="4">
      <c r="A4" s="14" t="inlineStr">
        <is>
          <t>Empresa</t>
        </is>
      </c>
      <c r="B4" s="14" t="inlineStr">
        <is>
          <t>Actividad</t>
        </is>
      </c>
      <c r="C4" s="14" t="inlineStr">
        <is>
          <t>Facturación (M€)</t>
        </is>
      </c>
      <c r="D4" s="14" t="inlineStr">
        <is>
          <t>EBITDA (M€)</t>
        </is>
      </c>
      <c r="E4" s="14" t="inlineStr">
        <is>
          <t>Qué aporta a Psyma</t>
        </is>
      </c>
    </row>
    <row r="5">
      <c r="A5" s="21">
        <f>'Long list'!D5</f>
        <v/>
      </c>
      <c r="B5" s="21">
        <f>'Long list'!H5</f>
        <v/>
      </c>
      <c r="C5" s="21">
        <f>IF('Long list'!N5="","[PENDIENTE]",'Long list'!N5)</f>
        <v/>
      </c>
      <c r="D5" s="21">
        <f>IF('Long list'!O5="","[PENDIENTE]",'Long list'!O5)</f>
        <v/>
      </c>
      <c r="E5" s="21">
        <f>'Long list'!I5</f>
        <v/>
      </c>
    </row>
    <row r="6">
      <c r="A6" s="21">
        <f>'Long list'!D6</f>
        <v/>
      </c>
      <c r="B6" s="21">
        <f>'Long list'!H6</f>
        <v/>
      </c>
      <c r="C6" s="21">
        <f>IF('Long list'!N6="","[PENDIENTE]",'Long list'!N6)</f>
        <v/>
      </c>
      <c r="D6" s="21">
        <f>IF('Long list'!O6="","[PENDIENTE]",'Long list'!O6)</f>
        <v/>
      </c>
      <c r="E6" s="21">
        <f>'Long list'!I6</f>
        <v/>
      </c>
    </row>
    <row r="7">
      <c r="A7" s="21">
        <f>'Long list'!D10</f>
        <v/>
      </c>
      <c r="B7" s="21">
        <f>'Long list'!H10</f>
        <v/>
      </c>
      <c r="C7" s="21">
        <f>IF('Long list'!N10="","[PENDIENTE]",'Long list'!N10)</f>
        <v/>
      </c>
      <c r="D7" s="21">
        <f>IF('Long list'!O10="","[PENDIENTE]",'Long list'!O10)</f>
        <v/>
      </c>
      <c r="E7" s="21">
        <f>'Long list'!I10</f>
        <v/>
      </c>
    </row>
    <row r="8">
      <c r="A8" s="21">
        <f>'Long list'!D13</f>
        <v/>
      </c>
      <c r="B8" s="21">
        <f>'Long list'!H13</f>
        <v/>
      </c>
      <c r="C8" s="21">
        <f>IF('Long list'!N13="","[PENDIENTE]",'Long list'!N13)</f>
        <v/>
      </c>
      <c r="D8" s="21">
        <f>IF('Long list'!O13="","[PENDIENTE]",'Long list'!O13)</f>
        <v/>
      </c>
      <c r="E8" s="21">
        <f>'Long list'!I13</f>
        <v/>
      </c>
    </row>
    <row r="9">
      <c r="A9" s="21">
        <f>'Long list'!D14</f>
        <v/>
      </c>
      <c r="B9" s="21">
        <f>'Long list'!H14</f>
        <v/>
      </c>
      <c r="C9" s="21">
        <f>IF('Long list'!N14="","[PENDIENTE]",'Long list'!N14)</f>
        <v/>
      </c>
      <c r="D9" s="21">
        <f>IF('Long list'!O14="","[PENDIENTE]",'Long list'!O14)</f>
        <v/>
      </c>
      <c r="E9" s="21">
        <f>'Long list'!I14</f>
        <v/>
      </c>
    </row>
    <row r="11">
      <c r="A11" s="20" t="inlineStr">
        <is>
          <t>Bloque 2 · Medición y dato recurrente</t>
        </is>
      </c>
    </row>
    <row r="12">
      <c r="A12" s="14" t="inlineStr">
        <is>
          <t>Empresa</t>
        </is>
      </c>
      <c r="B12" s="14" t="inlineStr">
        <is>
          <t>Actividad</t>
        </is>
      </c>
      <c r="C12" s="14" t="inlineStr">
        <is>
          <t>Facturación (M€)</t>
        </is>
      </c>
      <c r="D12" s="14" t="inlineStr">
        <is>
          <t>EBITDA (M€)</t>
        </is>
      </c>
      <c r="E12" s="14" t="inlineStr">
        <is>
          <t>Qué aporta a Psyma</t>
        </is>
      </c>
    </row>
    <row r="13">
      <c r="A13" s="21">
        <f>'Long list'!D24</f>
        <v/>
      </c>
      <c r="B13" s="21">
        <f>'Long list'!H24</f>
        <v/>
      </c>
      <c r="C13" s="21">
        <f>IF('Long list'!N24="","[PENDIENTE]",'Long list'!N24)</f>
        <v/>
      </c>
      <c r="D13" s="21">
        <f>IF('Long list'!O24="","[PENDIENTE]",'Long list'!O24)</f>
        <v/>
      </c>
      <c r="E13" s="21">
        <f>'Long list'!I24</f>
        <v/>
      </c>
    </row>
    <row r="14">
      <c r="A14" s="21">
        <f>'Long list'!D25</f>
        <v/>
      </c>
      <c r="B14" s="21">
        <f>'Long list'!H25</f>
        <v/>
      </c>
      <c r="C14" s="21">
        <f>IF('Long list'!N25="","[PENDIENTE]",'Long list'!N25)</f>
        <v/>
      </c>
      <c r="D14" s="21">
        <f>IF('Long list'!O25="","[PENDIENTE]",'Long list'!O25)</f>
        <v/>
      </c>
      <c r="E14" s="21">
        <f>'Long list'!I25</f>
        <v/>
      </c>
    </row>
    <row r="15">
      <c r="A15" s="21">
        <f>'Long list'!D29</f>
        <v/>
      </c>
      <c r="B15" s="21">
        <f>'Long list'!H29</f>
        <v/>
      </c>
      <c r="C15" s="21">
        <f>IF('Long list'!N29="","[PENDIENTE]",'Long list'!N29)</f>
        <v/>
      </c>
      <c r="D15" s="21">
        <f>IF('Long list'!O29="","[PENDIENTE]",'Long list'!O29)</f>
        <v/>
      </c>
      <c r="E15" s="21">
        <f>'Long list'!I29</f>
        <v/>
      </c>
    </row>
    <row r="16">
      <c r="A16" s="21">
        <f>'Long list'!D30</f>
        <v/>
      </c>
      <c r="B16" s="21">
        <f>'Long list'!H30</f>
        <v/>
      </c>
      <c r="C16" s="21">
        <f>IF('Long list'!N30="","[PENDIENTE]",'Long list'!N30)</f>
        <v/>
      </c>
      <c r="D16" s="21">
        <f>IF('Long list'!O30="","[PENDIENTE]",'Long list'!O30)</f>
        <v/>
      </c>
      <c r="E16" s="21">
        <f>'Long list'!I30</f>
        <v/>
      </c>
    </row>
    <row r="17">
      <c r="A17" s="21">
        <f>'Long list'!D32</f>
        <v/>
      </c>
      <c r="B17" s="21">
        <f>'Long list'!H32</f>
        <v/>
      </c>
      <c r="C17" s="21">
        <f>IF('Long list'!N32="","[PENDIENTE]",'Long list'!N32)</f>
        <v/>
      </c>
      <c r="D17" s="21">
        <f>IF('Long list'!O32="","[PENDIENTE]",'Long list'!O32)</f>
        <v/>
      </c>
      <c r="E17" s="21">
        <f>'Long list'!I32</f>
        <v/>
      </c>
    </row>
    <row r="19">
      <c r="A19" s="20" t="inlineStr">
        <is>
          <t>Bloque 3 · Tecnología e insights con IA</t>
        </is>
      </c>
    </row>
    <row r="20">
      <c r="A20" s="14" t="inlineStr">
        <is>
          <t>Empresa</t>
        </is>
      </c>
      <c r="B20" s="14" t="inlineStr">
        <is>
          <t>Actividad</t>
        </is>
      </c>
      <c r="C20" s="14" t="inlineStr">
        <is>
          <t>Facturación (M€)</t>
        </is>
      </c>
      <c r="D20" s="14" t="inlineStr">
        <is>
          <t>EBITDA (M€)</t>
        </is>
      </c>
      <c r="E20" s="14" t="inlineStr">
        <is>
          <t>Qué aporta a Psyma</t>
        </is>
      </c>
    </row>
    <row r="21">
      <c r="A21" s="21">
        <f>'Long list'!D35</f>
        <v/>
      </c>
      <c r="B21" s="21">
        <f>'Long list'!H35</f>
        <v/>
      </c>
      <c r="C21" s="21">
        <f>IF('Long list'!N35="","[PENDIENTE]",'Long list'!N35)</f>
        <v/>
      </c>
      <c r="D21" s="21">
        <f>IF('Long list'!O35="","[PENDIENTE]",'Long list'!O35)</f>
        <v/>
      </c>
      <c r="E21" s="21">
        <f>'Long list'!I35</f>
        <v/>
      </c>
    </row>
    <row r="22">
      <c r="A22" s="21">
        <f>'Long list'!D40</f>
        <v/>
      </c>
      <c r="B22" s="21">
        <f>'Long list'!H40</f>
        <v/>
      </c>
      <c r="C22" s="21">
        <f>IF('Long list'!N40="","[PENDIENTE]",'Long list'!N40)</f>
        <v/>
      </c>
      <c r="D22" s="21">
        <f>IF('Long list'!O40="","[PENDIENTE]",'Long list'!O40)</f>
        <v/>
      </c>
      <c r="E22" s="21">
        <f>'Long list'!I40</f>
        <v/>
      </c>
    </row>
    <row r="23">
      <c r="A23" s="21">
        <f>'Long list'!D43</f>
        <v/>
      </c>
      <c r="B23" s="21">
        <f>'Long list'!H43</f>
        <v/>
      </c>
      <c r="C23" s="21">
        <f>IF('Long list'!N43="","[PENDIENTE]",'Long list'!N43)</f>
        <v/>
      </c>
      <c r="D23" s="21">
        <f>IF('Long list'!O43="","[PENDIENTE]",'Long list'!O43)</f>
        <v/>
      </c>
      <c r="E23" s="21">
        <f>'Long list'!I43</f>
        <v/>
      </c>
    </row>
    <row r="24">
      <c r="A24" s="21">
        <f>'Long list'!D44</f>
        <v/>
      </c>
      <c r="B24" s="21">
        <f>'Long list'!H44</f>
        <v/>
      </c>
      <c r="C24" s="21">
        <f>IF('Long list'!N44="","[PENDIENTE]",'Long list'!N44)</f>
        <v/>
      </c>
      <c r="D24" s="21">
        <f>IF('Long list'!O44="","[PENDIENTE]",'Long list'!O44)</f>
        <v/>
      </c>
      <c r="E24" s="21">
        <f>'Long list'!I44</f>
        <v/>
      </c>
    </row>
    <row r="25">
      <c r="A25" s="21">
        <f>'Long list'!D46</f>
        <v/>
      </c>
      <c r="B25" s="21">
        <f>'Long list'!H46</f>
        <v/>
      </c>
      <c r="C25" s="21">
        <f>IF('Long list'!N46="","[PENDIENTE]",'Long list'!N46)</f>
        <v/>
      </c>
      <c r="D25" s="21">
        <f>IF('Long list'!O46="","[PENDIENTE]",'Long list'!O46)</f>
        <v/>
      </c>
      <c r="E25" s="21">
        <f>'Long list'!I46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2026-09-28T15:32:39Z</dcterms:created>
  <dcterms:modified xsi:type="dcterms:W3CDTF">2026-09-28T15:32:40Z</dcterms:modified>
</cp:coreProperties>
</file>