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bado Tesis A" sheetId="1" state="visible" r:id="rId1"/>
    <sheet name="Resumen" sheetId="2" state="visible" r:id="rId2"/>
  </sheets>
  <definedNames>
    <definedName name="_xlnm._FilterDatabase" localSheetId="0" hidden="1">'Cribado Tesis A'!$A$4:$N$33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4233C"/>
      <sz val="14"/>
    </font>
    <font>
      <name val="Arial"/>
      <i val="1"/>
      <color rgb="0056707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color rgb="0014233C"/>
      <sz val="12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4233C"/>
      </patternFill>
    </fill>
    <fill>
      <patternFill patternType="solid">
        <fgColor rgb="00DCE6F0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C9D1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52" customWidth="1" min="4" max="4"/>
    <col width="32" customWidth="1" min="5" max="5"/>
    <col width="22" customWidth="1" min="6" max="6"/>
    <col width="44" customWidth="1" min="7" max="7"/>
    <col width="2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30" customWidth="1" min="14" max="14"/>
  </cols>
  <sheetData>
    <row r="1">
      <c r="A1" s="1" t="inlineStr">
        <is>
          <t>Psyma Ibérica · Tesis A · Cribado de add-ons por capa de la cadena de valor pharma (España)</t>
        </is>
      </c>
    </row>
    <row r="2">
      <c r="A2" s="2" t="inlineStr">
        <is>
          <t>Criterio add-on: empresa española, independiente (sin grupo, multinacional ni PE) y con cuentas en SABI. Amarillo = completar con SABI. «Ya consolidada» = precedente de la tesis, no disponible.</t>
        </is>
      </c>
    </row>
    <row r="4">
      <c r="A4" s="3" t="inlineStr">
        <is>
          <t>Capa (vertical)</t>
        </is>
      </c>
      <c r="B4" s="3" t="inlineStr">
        <is>
          <t>Empresa</t>
        </is>
      </c>
      <c r="C4" s="3" t="inlineStr">
        <is>
          <t>Sede</t>
        </is>
      </c>
      <c r="D4" s="3" t="inlineStr">
        <is>
          <t>Actividad</t>
        </is>
      </c>
      <c r="E4" s="3" t="inlineStr">
        <is>
          <t>Propiedad</t>
        </is>
      </c>
      <c r="F4" s="3" t="inlineStr">
        <is>
          <t>Estado</t>
        </is>
      </c>
      <c r="G4" s="3" t="inlineStr">
        <is>
          <t>Encaje / motivo</t>
        </is>
      </c>
      <c r="H4" s="3" t="inlineStr">
        <is>
          <t>Paso del build-up</t>
        </is>
      </c>
      <c r="I4" s="3" t="inlineStr">
        <is>
          <t>Confianza del dato</t>
        </is>
      </c>
      <c r="J4" s="3" t="inlineStr">
        <is>
          <t>Ventas 2024 (M€)</t>
        </is>
      </c>
      <c r="K4" s="3" t="inlineStr">
        <is>
          <t>EBITDA 2024 (M€)</t>
        </is>
      </c>
      <c r="L4" s="3" t="inlineStr">
        <is>
          <t>Empleados</t>
        </is>
      </c>
      <c r="M4" s="3" t="inlineStr">
        <is>
          <t>¿Cuentas en SABI? (Sí/No)</t>
        </is>
      </c>
      <c r="N4" s="3" t="inlineStr">
        <is>
          <t>Fuente</t>
        </is>
      </c>
    </row>
    <row r="5">
      <c r="A5" s="4" t="inlineStr">
        <is>
          <t>1 · Investigación de mercados pharma</t>
        </is>
      </c>
      <c r="B5" s="5" t="inlineStr">
        <is>
          <t>Core Research</t>
        </is>
      </c>
      <c r="C5" s="4" t="inlineStr">
        <is>
          <t>España (verificar sede)</t>
        </is>
      </c>
      <c r="D5" s="4" t="inlineStr">
        <is>
          <t>Instituto de investigación de mercados de referencia en pharma, +20 años</t>
        </is>
      </c>
      <c r="E5" s="4" t="inlineStr">
        <is>
          <t>100% capital nacional</t>
        </is>
      </c>
      <c r="F5" s="4" t="inlineStr">
        <is>
          <t>Shortlist</t>
        </is>
      </c>
      <c r="G5" s="4" t="inlineStr">
        <is>
          <t>Consolidación horizontal: mismo cliente y mismo servicio que Psyma</t>
        </is>
      </c>
      <c r="H5" s="4" t="inlineStr">
        <is>
          <t>Consolidación horizontal</t>
        </is>
      </c>
      <c r="I5" s="4" t="inlineStr">
        <is>
          <t>Media</t>
        </is>
      </c>
      <c r="J5" s="6" t="n"/>
      <c r="K5" s="6" t="n"/>
      <c r="L5" s="6" t="n"/>
      <c r="M5" s="6" t="n"/>
      <c r="N5" s="4" t="inlineStr">
        <is>
          <t>pmfarma.com/empresas/E4578-core-research</t>
        </is>
      </c>
    </row>
    <row r="6">
      <c r="A6" s="4" t="inlineStr">
        <is>
          <t>1 · Investigación de mercados pharma</t>
        </is>
      </c>
      <c r="B6" s="5" t="inlineStr">
        <is>
          <t>Pharmore Research</t>
        </is>
      </c>
      <c r="C6" s="4" t="inlineStr">
        <is>
          <t>Barcelona</t>
        </is>
      </c>
      <c r="D6" s="4" t="inlineStr">
        <is>
          <t>Investigación full-service y campo, 100% pharma y salud; fundada en 2002</t>
        </is>
      </c>
      <c r="E6" s="4" t="inlineStr">
        <is>
          <t>Independiente</t>
        </is>
      </c>
      <c r="F6" s="4" t="inlineStr">
        <is>
          <t>Shortlist</t>
        </is>
      </c>
      <c r="G6" s="4" t="inlineStr">
        <is>
          <t>Añade campo propio y presencia en Barcelona</t>
        </is>
      </c>
      <c r="H6" s="4" t="inlineStr">
        <is>
          <t>Consolidación horizontal</t>
        </is>
      </c>
      <c r="I6" s="4" t="inlineStr">
        <is>
          <t>Alta</t>
        </is>
      </c>
      <c r="J6" s="6" t="n"/>
      <c r="K6" s="6" t="n"/>
      <c r="L6" s="6" t="n"/>
      <c r="M6" s="6" t="n"/>
      <c r="N6" s="4" t="inlineStr">
        <is>
          <t>pharmoreresearch.com</t>
        </is>
      </c>
    </row>
    <row r="7">
      <c r="A7" s="4" t="inlineStr">
        <is>
          <t>1 · Investigación de mercados pharma</t>
        </is>
      </c>
      <c r="B7" s="5" t="inlineStr">
        <is>
          <t>Fesdex</t>
        </is>
      </c>
      <c r="C7" s="4" t="inlineStr">
        <is>
          <t>Barcelona</t>
        </is>
      </c>
      <c r="D7" s="4" t="inlineStr">
        <is>
          <t>Estudios de mercado para la industria farmacéutica en España e Italia</t>
        </is>
      </c>
      <c r="E7" s="4" t="inlineStr">
        <is>
          <t>Independiente (verificar)</t>
        </is>
      </c>
      <c r="F7" s="4" t="inlineStr">
        <is>
          <t>Shortlist</t>
        </is>
      </c>
      <c r="G7" s="4" t="inlineStr">
        <is>
          <t>Cartera pharma y entrada en Italia</t>
        </is>
      </c>
      <c r="H7" s="4" t="inlineStr">
        <is>
          <t>Consolidación horizontal</t>
        </is>
      </c>
      <c r="I7" s="4" t="inlineStr">
        <is>
          <t>Media</t>
        </is>
      </c>
      <c r="J7" s="6" t="n"/>
      <c r="K7" s="6" t="n"/>
      <c r="L7" s="6" t="n"/>
      <c r="M7" s="6" t="n"/>
      <c r="N7" s="4" t="inlineStr">
        <is>
          <t>fesdex.es</t>
        </is>
      </c>
    </row>
    <row r="8">
      <c r="A8" s="4" t="inlineStr">
        <is>
          <t>1 · Investigación de mercados pharma</t>
        </is>
      </c>
      <c r="B8" s="5" t="inlineStr">
        <is>
          <t>IVP Iberica</t>
        </is>
      </c>
      <c r="C8" s="4" t="inlineStr">
        <is>
          <t>Madrid / Barcelona</t>
        </is>
      </c>
      <c r="D8" s="4" t="inlineStr">
        <is>
          <t>Campo healthcare con panel fidelizado de +15.000 médicos y salas propias</t>
        </is>
      </c>
      <c r="E8" s="4" t="inlineStr">
        <is>
          <t>Red Inter-View Partners (verificar si hay participación)</t>
        </is>
      </c>
      <c r="F8" s="4" t="inlineStr">
        <is>
          <t>Shortlist</t>
        </is>
      </c>
      <c r="G8" s="4" t="inlineStr">
        <is>
          <t>Panel de médicos propio: abarata el campo de Psyma</t>
        </is>
      </c>
      <c r="H8" s="4" t="inlineStr">
        <is>
          <t>Consolidación horizontal</t>
        </is>
      </c>
      <c r="I8" s="4" t="inlineStr">
        <is>
          <t>Media</t>
        </is>
      </c>
      <c r="J8" s="6" t="n"/>
      <c r="K8" s="6" t="n"/>
      <c r="L8" s="6" t="n"/>
      <c r="M8" s="6" t="n"/>
      <c r="N8" s="4" t="inlineStr">
        <is>
          <t>ephmra.org/supplier-directory/586</t>
        </is>
      </c>
    </row>
    <row r="9">
      <c r="A9" s="4" t="inlineStr">
        <is>
          <t>1 · Investigación de mercados pharma</t>
        </is>
      </c>
      <c r="B9" s="5" t="inlineStr">
        <is>
          <t>IEXP · Instituto para la Experiencia del Paciente</t>
        </is>
      </c>
      <c r="C9" s="4" t="inlineStr">
        <is>
          <t>Madrid (verificar)</t>
        </is>
      </c>
      <c r="D9" s="4" t="inlineStr">
        <is>
          <t>Medición y consultoría de experiencia de paciente para hospitales y laboratorios (Novartis, GSK, Leo Pharma)</t>
        </is>
      </c>
      <c r="E9" s="4" t="inlineStr">
        <is>
          <t>Independiente (verificar)</t>
        </is>
      </c>
      <c r="F9" s="4" t="inlineStr">
        <is>
          <t>Shortlist</t>
        </is>
      </c>
      <c r="G9" s="4" t="inlineStr">
        <is>
          <t>Abre la voz del paciente; también en la shortlist de la tesis B</t>
        </is>
      </c>
      <c r="H9" s="4" t="inlineStr">
        <is>
          <t>Consolidación horizontal</t>
        </is>
      </c>
      <c r="I9" s="4" t="inlineStr">
        <is>
          <t>Media</t>
        </is>
      </c>
      <c r="J9" s="6" t="n"/>
      <c r="K9" s="6" t="n"/>
      <c r="L9" s="6" t="n"/>
      <c r="M9" s="6" t="n"/>
      <c r="N9" s="4" t="inlineStr">
        <is>
          <t>iexp.es/laboratorios</t>
        </is>
      </c>
    </row>
    <row r="10">
      <c r="A10" s="7" t="inlineStr">
        <is>
          <t>1 · Investigación de mercados pharma</t>
        </is>
      </c>
      <c r="B10" s="8" t="inlineStr">
        <is>
          <t>Amber Marketing</t>
        </is>
      </c>
      <c r="C10" s="7" t="inlineStr">
        <is>
          <t>España</t>
        </is>
      </c>
      <c r="D10" s="7" t="inlineStr">
        <is>
          <t>Investigación de mercados en salud</t>
        </is>
      </c>
      <c r="E10" s="7" t="inlineStr">
        <is>
          <t>Minerva Insights (Ufenau), 2023</t>
        </is>
      </c>
      <c r="F10" s="7" t="inlineStr">
        <is>
          <t>Ya consolidada (precedente)</t>
        </is>
      </c>
      <c r="G10" s="7" t="inlineStr">
        <is>
          <t>Ya comprada: precedente de consolidación</t>
        </is>
      </c>
      <c r="H10" s="7" t="inlineStr">
        <is>
          <t>—</t>
        </is>
      </c>
      <c r="I10" s="7" t="inlineStr">
        <is>
          <t>Alta</t>
        </is>
      </c>
      <c r="J10" s="7" t="n"/>
      <c r="K10" s="7" t="n"/>
      <c r="L10" s="7" t="n"/>
      <c r="M10" s="7" t="n"/>
      <c r="N10" s="7" t="inlineStr">
        <is>
          <t>webcapitalriesgo.com</t>
        </is>
      </c>
    </row>
    <row r="11">
      <c r="A11" s="9" t="inlineStr">
        <is>
          <t>1 · Investigación de mercados pharma</t>
        </is>
      </c>
      <c r="B11" s="10" t="inlineStr">
        <is>
          <t>IQVIA / Ipsos Healthcare / Cerner Enviza</t>
        </is>
      </c>
      <c r="C11" s="9" t="inlineStr">
        <is>
          <t>Madrid</t>
        </is>
      </c>
      <c r="D11" s="9" t="inlineStr">
        <is>
          <t>Dato y research pharma</t>
        </is>
      </c>
      <c r="E11" s="9" t="inlineStr">
        <is>
          <t>Multinacionales</t>
        </is>
      </c>
      <c r="F11" s="9" t="inlineStr">
        <is>
          <t>Descartada</t>
        </is>
      </c>
      <c r="G11" s="9" t="inlineStr">
        <is>
          <t>No es add-on: multinacionales</t>
        </is>
      </c>
      <c r="H11" s="9" t="inlineStr">
        <is>
          <t>—</t>
        </is>
      </c>
      <c r="I11" s="9" t="inlineStr">
        <is>
          <t>Alta</t>
        </is>
      </c>
      <c r="J11" s="9" t="n"/>
      <c r="K11" s="9" t="n"/>
      <c r="L11" s="9" t="n"/>
      <c r="M11" s="9" t="n"/>
      <c r="N11" s="9" t="inlineStr"/>
    </row>
    <row r="12">
      <c r="A12" s="4" t="inlineStr">
        <is>
          <t>2 · Estrategia y consultoría</t>
        </is>
      </c>
      <c r="B12" s="5" t="inlineStr">
        <is>
          <t>Hygeia Consulting</t>
        </is>
      </c>
      <c r="C12" s="4" t="inlineStr">
        <is>
          <t>Madrid</t>
        </is>
      </c>
      <c r="D12" s="4" t="inlineStr">
        <is>
          <t>Consultoría e investigación aplicada en gestión y evaluación de servicios y políticas sanitarias</t>
        </is>
      </c>
      <c r="E12" s="4" t="inlineStr">
        <is>
          <t>Independiente (verificar)</t>
        </is>
      </c>
      <c r="F12" s="4" t="inlineStr">
        <is>
          <t>Shortlist</t>
        </is>
      </c>
      <c r="G12" s="4" t="inlineStr">
        <is>
          <t>Del dato a la recomendación estratégica en salud</t>
        </is>
      </c>
      <c r="H12" s="4" t="inlineStr">
        <is>
          <t>Paso 1</t>
        </is>
      </c>
      <c r="I12" s="4" t="inlineStr">
        <is>
          <t>Media</t>
        </is>
      </c>
      <c r="J12" s="6" t="n"/>
      <c r="K12" s="6" t="n"/>
      <c r="L12" s="6" t="n"/>
      <c r="M12" s="6" t="n"/>
      <c r="N12" s="4" t="inlineStr">
        <is>
          <t>hygeiaconsulting.com</t>
        </is>
      </c>
    </row>
    <row r="13">
      <c r="A13" s="4" t="inlineStr">
        <is>
          <t>2 · Estrategia y consultoría</t>
        </is>
      </c>
      <c r="B13" s="5" t="inlineStr">
        <is>
          <t>Luzán 5 Health Consulting</t>
        </is>
      </c>
      <c r="C13" s="4" t="inlineStr">
        <is>
          <t>Madrid</t>
        </is>
      </c>
      <c r="D13" s="4" t="inlineStr">
        <is>
          <t>Consultoría en salud y formación; empresa familiar desde 1982</t>
        </is>
      </c>
      <c r="E13" s="4" t="inlineStr">
        <is>
          <t>Familiar</t>
        </is>
      </c>
      <c r="F13" s="4" t="inlineStr">
        <is>
          <t>Shortlist</t>
        </is>
      </c>
      <c r="G13" s="4" t="inlineStr">
        <is>
          <t>Consultoría + formación médica: cubre las capas 2 y 5</t>
        </is>
      </c>
      <c r="H13" s="4" t="inlineStr">
        <is>
          <t>Paso 1 (o 3)</t>
        </is>
      </c>
      <c r="I13" s="4" t="inlineStr">
        <is>
          <t>Alta</t>
        </is>
      </c>
      <c r="J13" s="6" t="n"/>
      <c r="K13" s="6" t="n"/>
      <c r="L13" s="6" t="n"/>
      <c r="M13" s="6" t="n"/>
      <c r="N13" s="4" t="inlineStr">
        <is>
          <t>luzan5.com</t>
        </is>
      </c>
    </row>
    <row r="14">
      <c r="A14" s="11" t="inlineStr">
        <is>
          <t>2 · Estrategia y consultoría</t>
        </is>
      </c>
      <c r="B14" s="12" t="inlineStr">
        <is>
          <t>Mediformplus</t>
        </is>
      </c>
      <c r="C14" s="11" t="inlineStr">
        <is>
          <t>España (verificar)</t>
        </is>
      </c>
      <c r="D14" s="11" t="inlineStr">
        <is>
          <t>Formación y apoyo a la industria farmacéutica en estrategia comercial y trade marketing</t>
        </is>
      </c>
      <c r="E14" s="11" t="inlineStr">
        <is>
          <t>Independiente (verificar)</t>
        </is>
      </c>
      <c r="F14" s="11" t="inlineStr">
        <is>
          <t>Reserva</t>
        </is>
      </c>
      <c r="G14" s="11" t="inlineStr">
        <is>
          <t>Estrategia comercial pharma; tamaño por confirmar</t>
        </is>
      </c>
      <c r="H14" s="11" t="inlineStr">
        <is>
          <t>Paso 1</t>
        </is>
      </c>
      <c r="I14" s="11" t="inlineStr">
        <is>
          <t>Baja</t>
        </is>
      </c>
      <c r="J14" s="6" t="n"/>
      <c r="K14" s="6" t="n"/>
      <c r="L14" s="6" t="n"/>
      <c r="M14" s="6" t="n"/>
      <c r="N14" s="11" t="inlineStr">
        <is>
          <t>pharmatech.es</t>
        </is>
      </c>
    </row>
    <row r="15">
      <c r="A15" s="7" t="inlineStr">
        <is>
          <t>2 · Estrategia y consultoría</t>
        </is>
      </c>
      <c r="B15" s="8" t="inlineStr">
        <is>
          <t>Salvetti &amp; Llombart</t>
        </is>
      </c>
      <c r="C15" s="7" t="inlineStr">
        <is>
          <t>Barcelona</t>
        </is>
      </c>
      <c r="D15" s="7" t="inlineStr">
        <is>
          <t>Consultoría estratégica e insights</t>
        </is>
      </c>
      <c r="E15" s="7" t="inlineStr">
        <is>
          <t>Minerva Insights (Ufenau), 2023</t>
        </is>
      </c>
      <c r="F15" s="7" t="inlineStr">
        <is>
          <t>Ya consolidada (precedente)</t>
        </is>
      </c>
      <c r="G15" s="7" t="inlineStr">
        <is>
          <t>Ya comprada: precedente</t>
        </is>
      </c>
      <c r="H15" s="7" t="inlineStr">
        <is>
          <t>—</t>
        </is>
      </c>
      <c r="I15" s="7" t="inlineStr">
        <is>
          <t>Alta</t>
        </is>
      </c>
      <c r="J15" s="7" t="n"/>
      <c r="K15" s="7" t="n"/>
      <c r="L15" s="7" t="n"/>
      <c r="M15" s="7" t="n"/>
      <c r="N15" s="7" t="inlineStr">
        <is>
          <t>webcapitalriesgo.com</t>
        </is>
      </c>
    </row>
    <row r="16">
      <c r="A16" s="7" t="inlineStr">
        <is>
          <t>2 · Estrategia y consultoría</t>
        </is>
      </c>
      <c r="B16" s="8" t="inlineStr">
        <is>
          <t>Antares Consulting</t>
        </is>
      </c>
      <c r="C16" s="7" t="inlineStr">
        <is>
          <t>Barcelona / Madrid</t>
        </is>
      </c>
      <c r="D16" s="7" t="inlineStr">
        <is>
          <t>Consultoría de estrategia y gestión en salud y life sciences</t>
        </is>
      </c>
      <c r="E16" s="7" t="inlineStr">
        <is>
          <t>No independiente (Evidenze; antes Grupo Catalana Occidente)</t>
        </is>
      </c>
      <c r="F16" s="7" t="inlineStr">
        <is>
          <t>Ya consolidada (precedente)</t>
        </is>
      </c>
      <c r="G16" s="7" t="inlineStr">
        <is>
          <t>Ya integrada en un grupo</t>
        </is>
      </c>
      <c r="H16" s="7" t="inlineStr">
        <is>
          <t>—</t>
        </is>
      </c>
      <c r="I16" s="7" t="inlineStr">
        <is>
          <t>Media</t>
        </is>
      </c>
      <c r="J16" s="7" t="n"/>
      <c r="K16" s="7" t="n"/>
      <c r="L16" s="7" t="n"/>
      <c r="M16" s="7" t="n"/>
      <c r="N16" s="7" t="inlineStr">
        <is>
          <t>einforma.com (Antares Evidenze Consulting SL)</t>
        </is>
      </c>
    </row>
    <row r="17">
      <c r="A17" s="9" t="inlineStr">
        <is>
          <t>2 · Estrategia y consultoría</t>
        </is>
      </c>
      <c r="B17" s="10" t="inlineStr">
        <is>
          <t>Ascendo Sanidad&amp;Farma</t>
        </is>
      </c>
      <c r="C17" s="9" t="inlineStr">
        <is>
          <t>Madrid</t>
        </is>
      </c>
      <c r="D17" s="9" t="inlineStr">
        <is>
          <t>Consultoría estratégica en salud</t>
        </is>
      </c>
      <c r="E17" s="9" t="inlineStr">
        <is>
          <t>Sociedad extinguida</t>
        </is>
      </c>
      <c r="F17" s="9" t="inlineStr">
        <is>
          <t>Descartada</t>
        </is>
      </c>
      <c r="G17" s="9" t="inlineStr">
        <is>
          <t>Ya no opera</t>
        </is>
      </c>
      <c r="H17" s="9" t="inlineStr">
        <is>
          <t>—</t>
        </is>
      </c>
      <c r="I17" s="9" t="inlineStr">
        <is>
          <t>Alta</t>
        </is>
      </c>
      <c r="J17" s="9" t="n"/>
      <c r="K17" s="9" t="n"/>
      <c r="L17" s="9" t="n"/>
      <c r="M17" s="9" t="n"/>
      <c r="N17" s="9" t="inlineStr">
        <is>
          <t>iberinform.es</t>
        </is>
      </c>
    </row>
    <row r="18">
      <c r="A18" s="4" t="inlineStr">
        <is>
          <t>3 · Evidencia (HEOR y RWE)</t>
        </is>
      </c>
      <c r="B18" s="5" t="inlineStr">
        <is>
          <t>PORIB (Pharmacoeconomics &amp; Outcomes Research Iberia)</t>
        </is>
      </c>
      <c r="C18" s="4" t="inlineStr">
        <is>
          <t>Pozuelo de Alarcón (Madrid)</t>
        </is>
      </c>
      <c r="D18" s="4" t="inlineStr">
        <is>
          <t>HEOR, bioestadística, economía de la salud, market access y comunicación de resultados; fundada en 2004</t>
        </is>
      </c>
      <c r="E18" s="4" t="inlineStr">
        <is>
          <t>Independiente (empresa propia)</t>
        </is>
      </c>
      <c r="F18" s="4" t="inlineStr">
        <is>
          <t>Shortlist</t>
        </is>
      </c>
      <c r="G18" s="4" t="inlineStr">
        <is>
          <t>Evidencia + acceso en un solo paso</t>
        </is>
      </c>
      <c r="H18" s="4" t="inlineStr">
        <is>
          <t>Paso 2</t>
        </is>
      </c>
      <c r="I18" s="4" t="inlineStr">
        <is>
          <t>Alta</t>
        </is>
      </c>
      <c r="J18" s="6" t="n"/>
      <c r="K18" s="6" t="n"/>
      <c r="L18" s="6" t="n"/>
      <c r="M18" s="6" t="n"/>
      <c r="N18" s="4" t="inlineStr">
        <is>
          <t>porib.com</t>
        </is>
      </c>
    </row>
    <row r="19">
      <c r="A19" s="4" t="inlineStr">
        <is>
          <t>3 · Evidencia (HEOR y RWE)</t>
        </is>
      </c>
      <c r="B19" s="5" t="inlineStr">
        <is>
          <t>Axentiva Solutions</t>
        </is>
      </c>
      <c r="C19" s="4" t="inlineStr">
        <is>
          <t>Barcelona</t>
        </is>
      </c>
      <c r="D19" s="4" t="inlineStr">
        <is>
          <t>HEOR y market access; Top 10 HEOR Europa 2023</t>
        </is>
      </c>
      <c r="E19" s="4" t="inlineStr">
        <is>
          <t>Fundador (Carlos Crespo)</t>
        </is>
      </c>
      <c r="F19" s="4" t="inlineStr">
        <is>
          <t>Shortlist</t>
        </is>
      </c>
      <c r="G19" s="4" t="inlineStr">
        <is>
          <t>Modelización HEOR con equipo académico</t>
        </is>
      </c>
      <c r="H19" s="4" t="inlineStr">
        <is>
          <t>Paso 2</t>
        </is>
      </c>
      <c r="I19" s="4" t="inlineStr">
        <is>
          <t>Alta</t>
        </is>
      </c>
      <c r="J19" s="6" t="n"/>
      <c r="K19" s="6" t="n"/>
      <c r="L19" s="6" t="n"/>
      <c r="M19" s="6" t="n"/>
      <c r="N19" s="4" t="inlineStr">
        <is>
          <t>axentiva.com</t>
        </is>
      </c>
    </row>
    <row r="20">
      <c r="A20" s="4" t="inlineStr">
        <is>
          <t>3 · Evidencia (HEOR y RWE)</t>
        </is>
      </c>
      <c r="B20" s="5" t="inlineStr">
        <is>
          <t>OXON Epidemiology</t>
        </is>
      </c>
      <c r="C20" s="4" t="inlineStr">
        <is>
          <t>Madrid / Londres</t>
        </is>
      </c>
      <c r="D20" s="4" t="inlineStr">
        <is>
          <t>CRO de RWE: estudios observacionales, farmacoepidemiología, HEOR; centro ENCePP</t>
        </is>
      </c>
      <c r="E20" s="4" t="inlineStr">
        <is>
          <t>Verificar (posible vínculo con Syneos)</t>
        </is>
      </c>
      <c r="F20" s="4" t="inlineStr">
        <is>
          <t>Shortlist</t>
        </is>
      </c>
      <c r="G20" s="4" t="inlineStr">
        <is>
          <t>Aporta RWE, la parte que más crece</t>
        </is>
      </c>
      <c r="H20" s="4" t="inlineStr">
        <is>
          <t>Paso 2</t>
        </is>
      </c>
      <c r="I20" s="4" t="inlineStr">
        <is>
          <t>Media</t>
        </is>
      </c>
      <c r="J20" s="6" t="n"/>
      <c r="K20" s="6" t="n"/>
      <c r="L20" s="6" t="n"/>
      <c r="M20" s="6" t="n"/>
      <c r="N20" s="4" t="inlineStr">
        <is>
          <t>oxonepi.com</t>
        </is>
      </c>
    </row>
    <row r="21">
      <c r="A21" s="7" t="inlineStr">
        <is>
          <t>3 · Evidencia (HEOR y RWE)</t>
        </is>
      </c>
      <c r="B21" s="8" t="inlineStr">
        <is>
          <t>Oblikue Consulting</t>
        </is>
      </c>
      <c r="C21" s="7" t="inlineStr">
        <is>
          <t>Barcelona</t>
        </is>
      </c>
      <c r="D21" s="7" t="inlineStr">
        <is>
          <t>HEOR y market access</t>
        </is>
      </c>
      <c r="E21" s="7" t="inlineStr">
        <is>
          <t>PharmaLex (hoy Cencora), 2021</t>
        </is>
      </c>
      <c r="F21" s="7" t="inlineStr">
        <is>
          <t>Ya consolidada (precedente)</t>
        </is>
      </c>
      <c r="G21" s="7" t="inlineStr">
        <is>
          <t>Ya comprada: precedente</t>
        </is>
      </c>
      <c r="H21" s="7" t="inlineStr">
        <is>
          <t>—</t>
        </is>
      </c>
      <c r="I21" s="7" t="inlineStr">
        <is>
          <t>Alta</t>
        </is>
      </c>
      <c r="J21" s="7" t="n"/>
      <c r="K21" s="7" t="n"/>
      <c r="L21" s="7" t="n"/>
      <c r="M21" s="7" t="n"/>
      <c r="N21" s="7" t="inlineStr">
        <is>
          <t>pharmalex.com</t>
        </is>
      </c>
    </row>
    <row r="22">
      <c r="A22" s="7" t="inlineStr">
        <is>
          <t>3 · Evidencia (HEOR y RWE)</t>
        </is>
      </c>
      <c r="B22" s="8" t="inlineStr">
        <is>
          <t>Weber Economía y Salud</t>
        </is>
      </c>
      <c r="C22" s="7" t="inlineStr">
        <is>
          <t>Madrid</t>
        </is>
      </c>
      <c r="D22" s="7" t="inlineStr">
        <is>
          <t>HEOR, evaluación de tecnologías sanitarias y market access</t>
        </is>
      </c>
      <c r="E22" s="7" t="inlineStr">
        <is>
          <t>Vivactis Group, 2023</t>
        </is>
      </c>
      <c r="F22" s="7" t="inlineStr">
        <is>
          <t>Ya consolidada (precedente)</t>
        </is>
      </c>
      <c r="G22" s="7" t="inlineStr">
        <is>
          <t>Ya comprada: precedente</t>
        </is>
      </c>
      <c r="H22" s="7" t="inlineStr">
        <is>
          <t>—</t>
        </is>
      </c>
      <c r="I22" s="7" t="inlineStr">
        <is>
          <t>Alta</t>
        </is>
      </c>
      <c r="J22" s="7" t="n"/>
      <c r="K22" s="7" t="n"/>
      <c r="L22" s="7" t="n"/>
      <c r="M22" s="7" t="n"/>
      <c r="N22" s="7" t="inlineStr">
        <is>
          <t>weber.org.es</t>
        </is>
      </c>
    </row>
    <row r="23">
      <c r="A23" s="7" t="inlineStr">
        <is>
          <t>3 · Evidencia (HEOR y RWE)</t>
        </is>
      </c>
      <c r="B23" s="8" t="inlineStr">
        <is>
          <t>Outcomes'10</t>
        </is>
      </c>
      <c r="C23" s="7" t="inlineStr">
        <is>
          <t>Castellón</t>
        </is>
      </c>
      <c r="D23" s="7" t="inlineStr">
        <is>
          <t>Resultados en salud, economía de la salud y market access</t>
        </is>
      </c>
      <c r="E23" s="7" t="inlineStr">
        <is>
          <t>ProductLife Group</t>
        </is>
      </c>
      <c r="F23" s="7" t="inlineStr">
        <is>
          <t>Ya consolidada (precedente)</t>
        </is>
      </c>
      <c r="G23" s="7" t="inlineStr">
        <is>
          <t>Ya comprada: precedente</t>
        </is>
      </c>
      <c r="H23" s="7" t="inlineStr">
        <is>
          <t>—</t>
        </is>
      </c>
      <c r="I23" s="7" t="inlineStr">
        <is>
          <t>Alta</t>
        </is>
      </c>
      <c r="J23" s="7" t="n"/>
      <c r="K23" s="7" t="n"/>
      <c r="L23" s="7" t="n"/>
      <c r="M23" s="7" t="n"/>
      <c r="N23" s="7" t="inlineStr">
        <is>
          <t>linkedin.com/company/outcomes10</t>
        </is>
      </c>
    </row>
    <row r="24">
      <c r="A24" s="4" t="inlineStr">
        <is>
          <t>4 · Acceso y pricing</t>
        </is>
      </c>
      <c r="B24" s="5" t="inlineStr">
        <is>
          <t>Get Access Consulting</t>
        </is>
      </c>
      <c r="C24" s="4" t="inlineStr">
        <is>
          <t>España (verificar sede)</t>
        </is>
      </c>
      <c r="D24" s="4" t="inlineStr">
        <is>
          <t>Precio y reembolso, acceso temprano y market access regional; oncología, hospital y enfermedades raras</t>
        </is>
      </c>
      <c r="E24" s="4" t="inlineStr">
        <is>
          <t>Independiente (verificar)</t>
        </is>
      </c>
      <c r="F24" s="4" t="inlineStr">
        <is>
          <t>Shortlist</t>
        </is>
      </c>
      <c r="G24" s="4" t="inlineStr">
        <is>
          <t>Acceso y precio: se vende junto a la evidencia</t>
        </is>
      </c>
      <c r="H24" s="4" t="inlineStr">
        <is>
          <t>Paso 2</t>
        </is>
      </c>
      <c r="I24" s="4" t="inlineStr">
        <is>
          <t>Media</t>
        </is>
      </c>
      <c r="J24" s="6" t="n"/>
      <c r="K24" s="6" t="n"/>
      <c r="L24" s="6" t="n"/>
      <c r="M24" s="6" t="n"/>
      <c r="N24" s="4" t="inlineStr">
        <is>
          <t>getaccess.es</t>
        </is>
      </c>
    </row>
    <row r="25">
      <c r="A25" s="4" t="inlineStr">
        <is>
          <t>4 · Acceso y pricing</t>
        </is>
      </c>
      <c r="B25" s="5" t="inlineStr">
        <is>
          <t>RCAPharma</t>
        </is>
      </c>
      <c r="C25" s="4" t="inlineStr">
        <is>
          <t>Madrid</t>
        </is>
      </c>
      <c r="D25" s="4" t="inlineStr">
        <is>
          <t>Asesoría regulatoria, farmacovigilancia y acceso al mercado; fundada en 1991</t>
        </is>
      </c>
      <c r="E25" s="4" t="inlineStr">
        <is>
          <t>Independiente (verificar)</t>
        </is>
      </c>
      <c r="F25" s="4" t="inlineStr">
        <is>
          <t>Shortlist</t>
        </is>
      </c>
      <c r="G25" s="4" t="inlineStr">
        <is>
          <t>Acceso + regulatorio con cartera de laboratorios</t>
        </is>
      </c>
      <c r="H25" s="4" t="inlineStr">
        <is>
          <t>Paso 2</t>
        </is>
      </c>
      <c r="I25" s="4" t="inlineStr">
        <is>
          <t>Media</t>
        </is>
      </c>
      <c r="J25" s="6" t="n"/>
      <c r="K25" s="6" t="n"/>
      <c r="L25" s="6" t="n"/>
      <c r="M25" s="6" t="n"/>
      <c r="N25" s="4" t="inlineStr">
        <is>
          <t>pharmatech.es</t>
        </is>
      </c>
    </row>
    <row r="26">
      <c r="A26" s="7" t="inlineStr">
        <is>
          <t>4 · Acceso y pricing</t>
        </is>
      </c>
      <c r="B26" s="8" t="inlineStr">
        <is>
          <t>Omakase Consulting</t>
        </is>
      </c>
      <c r="C26" s="7" t="inlineStr">
        <is>
          <t>Barcelona</t>
        </is>
      </c>
      <c r="D26" s="7" t="inlineStr">
        <is>
          <t>Precio y acceso en España (medicamentos huérfanos y terapias avanzadas)</t>
        </is>
      </c>
      <c r="E26" s="7" t="inlineStr">
        <is>
          <t>G&amp;L Scientific, ene-2025</t>
        </is>
      </c>
      <c r="F26" s="7" t="inlineStr">
        <is>
          <t>Ya consolidada (precedente)</t>
        </is>
      </c>
      <c r="G26" s="7" t="inlineStr">
        <is>
          <t>Ya comprada: precedente</t>
        </is>
      </c>
      <c r="H26" s="7" t="inlineStr">
        <is>
          <t>—</t>
        </is>
      </c>
      <c r="I26" s="7" t="inlineStr">
        <is>
          <t>Alta</t>
        </is>
      </c>
      <c r="J26" s="7" t="n"/>
      <c r="K26" s="7" t="n"/>
      <c r="L26" s="7" t="n"/>
      <c r="M26" s="7" t="n"/>
      <c r="N26" s="7" t="inlineStr">
        <is>
          <t>gandlscientific.com</t>
        </is>
      </c>
    </row>
    <row r="27">
      <c r="A27" s="4" t="inlineStr">
        <is>
          <t>5 · Comunicación médica</t>
        </is>
      </c>
      <c r="B27" s="5" t="inlineStr">
        <is>
          <t>Ergon</t>
        </is>
      </c>
      <c r="C27" s="4" t="inlineStr">
        <is>
          <t>Madrid</t>
        </is>
      </c>
      <c r="D27" s="4" t="inlineStr">
        <is>
          <t>Comunicación médica y edición científica para la industria farmacéutica; +30 años</t>
        </is>
      </c>
      <c r="E27" s="4" t="inlineStr">
        <is>
          <t>Independiente (verificar)</t>
        </is>
      </c>
      <c r="F27" s="4" t="inlineStr">
        <is>
          <t>Shortlist</t>
        </is>
      </c>
      <c r="G27" s="4" t="inlineStr">
        <is>
          <t>Contenido científico y relación con sociedades médicas</t>
        </is>
      </c>
      <c r="H27" s="4" t="inlineStr">
        <is>
          <t>Paso 3</t>
        </is>
      </c>
      <c r="I27" s="4" t="inlineStr">
        <is>
          <t>Media</t>
        </is>
      </c>
      <c r="J27" s="6" t="n"/>
      <c r="K27" s="6" t="n"/>
      <c r="L27" s="6" t="n"/>
      <c r="M27" s="6" t="n"/>
      <c r="N27" s="4" t="inlineStr">
        <is>
          <t>ergon.es</t>
        </is>
      </c>
    </row>
    <row r="28">
      <c r="A28" s="4" t="inlineStr">
        <is>
          <t>5 · Comunicación médica</t>
        </is>
      </c>
      <c r="B28" s="5" t="inlineStr">
        <is>
          <t>Doctaforum</t>
        </is>
      </c>
      <c r="C28" s="4" t="inlineStr">
        <is>
          <t>Madrid</t>
        </is>
      </c>
      <c r="D28" s="4" t="inlineStr">
        <is>
          <t>Comunicación en salud, consultoría científica y eventos médicos; +50 empleados</t>
        </is>
      </c>
      <c r="E28" s="4" t="inlineStr">
        <is>
          <t>Independiente (verificar)</t>
        </is>
      </c>
      <c r="F28" s="4" t="inlineStr">
        <is>
          <t>Shortlist</t>
        </is>
      </c>
      <c r="G28" s="4" t="inlineStr">
        <is>
          <t>Eventos y congresos: ingreso recurrente tras el lanzamiento</t>
        </is>
      </c>
      <c r="H28" s="4" t="inlineStr">
        <is>
          <t>Paso 3</t>
        </is>
      </c>
      <c r="I28" s="4" t="inlineStr">
        <is>
          <t>Media</t>
        </is>
      </c>
      <c r="J28" s="6" t="n"/>
      <c r="K28" s="6" t="n"/>
      <c r="L28" s="6" t="n"/>
      <c r="M28" s="6" t="n"/>
      <c r="N28" s="4" t="inlineStr">
        <is>
          <t>doctaforum (LinkedIn)</t>
        </is>
      </c>
    </row>
    <row r="29">
      <c r="A29" s="4" t="inlineStr">
        <is>
          <t>5 · Comunicación médica</t>
        </is>
      </c>
      <c r="B29" s="5" t="inlineStr">
        <is>
          <t>Content Ed Net</t>
        </is>
      </c>
      <c r="C29" s="4" t="inlineStr">
        <is>
          <t>Madrid</t>
        </is>
      </c>
      <c r="D29" s="4" t="inlineStr">
        <is>
          <t>Redacción médica y comunicación científica</t>
        </is>
      </c>
      <c r="E29" s="4" t="inlineStr">
        <is>
          <t>Verificar</t>
        </is>
      </c>
      <c r="F29" s="4" t="inlineStr">
        <is>
          <t>Shortlist</t>
        </is>
      </c>
      <c r="G29" s="4" t="inlineStr">
        <is>
          <t>Medical writing para lanzamientos</t>
        </is>
      </c>
      <c r="H29" s="4" t="inlineStr">
        <is>
          <t>Paso 3</t>
        </is>
      </c>
      <c r="I29" s="4" t="inlineStr">
        <is>
          <t>Media</t>
        </is>
      </c>
      <c r="J29" s="6" t="n"/>
      <c r="K29" s="6" t="n"/>
      <c r="L29" s="6" t="n"/>
      <c r="M29" s="6" t="n"/>
      <c r="N29" s="4" t="inlineStr">
        <is>
          <t>contentednet.com</t>
        </is>
      </c>
    </row>
    <row r="30">
      <c r="A30" s="4" t="inlineStr">
        <is>
          <t>5 · Comunicación médica</t>
        </is>
      </c>
      <c r="B30" s="5" t="inlineStr">
        <is>
          <t>Pulso Ediciones</t>
        </is>
      </c>
      <c r="C30" s="4" t="inlineStr">
        <is>
          <t>Barcelona</t>
        </is>
      </c>
      <c r="D30" s="4" t="inlineStr">
        <is>
          <t>Formación médica continuada y edición; fundada en 1979</t>
        </is>
      </c>
      <c r="E30" s="4" t="inlineStr">
        <is>
          <t>Verificar</t>
        </is>
      </c>
      <c r="F30" s="4" t="inlineStr">
        <is>
          <t>Shortlist</t>
        </is>
      </c>
      <c r="G30" s="4" t="inlineStr">
        <is>
          <t>Formación médica continuada acreditada</t>
        </is>
      </c>
      <c r="H30" s="4" t="inlineStr">
        <is>
          <t>Paso 3</t>
        </is>
      </c>
      <c r="I30" s="4" t="inlineStr">
        <is>
          <t>Media</t>
        </is>
      </c>
      <c r="J30" s="6" t="n"/>
      <c r="K30" s="6" t="n"/>
      <c r="L30" s="6" t="n"/>
      <c r="M30" s="6" t="n"/>
      <c r="N30" s="4" t="inlineStr">
        <is>
          <t>dealroom.co</t>
        </is>
      </c>
    </row>
    <row r="31">
      <c r="A31" s="11" t="inlineStr">
        <is>
          <t>5 · Comunicación médica</t>
        </is>
      </c>
      <c r="B31" s="12" t="inlineStr">
        <is>
          <t>Ediciones Mayo</t>
        </is>
      </c>
      <c r="C31" s="11" t="inlineStr">
        <is>
          <t>Barcelona</t>
        </is>
      </c>
      <c r="D31" s="11" t="inlineStr">
        <is>
          <t>Edición y comunicación en salud; +25 años</t>
        </is>
      </c>
      <c r="E31" s="11" t="inlineStr">
        <is>
          <t>Verificar</t>
        </is>
      </c>
      <c r="F31" s="11" t="inlineStr">
        <is>
          <t>Reserva</t>
        </is>
      </c>
      <c r="G31" s="11" t="inlineStr">
        <is>
          <t>Alternativa a Pulso en Barcelona</t>
        </is>
      </c>
      <c r="H31" s="11" t="inlineStr">
        <is>
          <t>Paso 3</t>
        </is>
      </c>
      <c r="I31" s="11" t="inlineStr">
        <is>
          <t>Baja</t>
        </is>
      </c>
      <c r="J31" s="6" t="n"/>
      <c r="K31" s="6" t="n"/>
      <c r="L31" s="6" t="n"/>
      <c r="M31" s="6" t="n"/>
      <c r="N31" s="11" t="inlineStr">
        <is>
          <t>aulamayo.com</t>
        </is>
      </c>
    </row>
    <row r="32">
      <c r="A32" s="11" t="inlineStr">
        <is>
          <t>5 · Comunicación médica</t>
        </is>
      </c>
      <c r="B32" s="12" t="inlineStr">
        <is>
          <t>Medical Media</t>
        </is>
      </c>
      <c r="C32" s="11" t="inlineStr">
        <is>
          <t>España</t>
        </is>
      </c>
      <c r="D32" s="11" t="inlineStr">
        <is>
          <t>Agencia médica, productora audiovisual y cursos médicos; desde 2004</t>
        </is>
      </c>
      <c r="E32" s="11" t="inlineStr">
        <is>
          <t>Verificar</t>
        </is>
      </c>
      <c r="F32" s="11" t="inlineStr">
        <is>
          <t>Reserva</t>
        </is>
      </c>
      <c r="G32" s="11" t="inlineStr">
        <is>
          <t>Add-on pequeño</t>
        </is>
      </c>
      <c r="H32" s="11" t="inlineStr">
        <is>
          <t>Paso 3</t>
        </is>
      </c>
      <c r="I32" s="11" t="inlineStr">
        <is>
          <t>Baja</t>
        </is>
      </c>
      <c r="J32" s="6" t="n"/>
      <c r="K32" s="6" t="n"/>
      <c r="L32" s="6" t="n"/>
      <c r="M32" s="6" t="n"/>
      <c r="N32" s="11" t="inlineStr">
        <is>
          <t>medicalmediascp.com</t>
        </is>
      </c>
    </row>
    <row r="33">
      <c r="A33" s="7" t="inlineStr">
        <is>
          <t>5 · Comunicación médica</t>
        </is>
      </c>
      <c r="B33" s="8" t="inlineStr">
        <is>
          <t>Grupo SANED</t>
        </is>
      </c>
      <c r="C33" s="7" t="inlineStr">
        <is>
          <t>Madrid</t>
        </is>
      </c>
      <c r="D33" s="7" t="inlineStr">
        <is>
          <t>Comunicación científica y educación médica; líder en España</t>
        </is>
      </c>
      <c r="E33" s="7" t="inlineStr">
        <is>
          <t>Medscape</t>
        </is>
      </c>
      <c r="F33" s="7" t="inlineStr">
        <is>
          <t>Ya consolidada (precedente)</t>
        </is>
      </c>
      <c r="G33" s="7" t="inlineStr">
        <is>
          <t>Ya comprada: precedente</t>
        </is>
      </c>
      <c r="H33" s="7" t="inlineStr">
        <is>
          <t>—</t>
        </is>
      </c>
      <c r="I33" s="7" t="inlineStr">
        <is>
          <t>Alta</t>
        </is>
      </c>
      <c r="J33" s="7" t="n"/>
      <c r="K33" s="7" t="n"/>
      <c r="L33" s="7" t="n"/>
      <c r="M33" s="7" t="n"/>
      <c r="N33" s="7" t="inlineStr">
        <is>
          <t>forbes.es</t>
        </is>
      </c>
    </row>
  </sheetData>
  <autoFilter ref="A4:N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6" customWidth="1" min="4" max="4"/>
    <col width="20" customWidth="1" min="5" max="5"/>
  </cols>
  <sheetData>
    <row r="1">
      <c r="A1" s="13" t="inlineStr">
        <is>
          <t>Resumen por capa</t>
        </is>
      </c>
    </row>
    <row r="3">
      <c r="A3" s="14" t="inlineStr">
        <is>
          <t>Capa</t>
        </is>
      </c>
      <c r="B3" s="14" t="inlineStr">
        <is>
          <t>Shortlist</t>
        </is>
      </c>
      <c r="C3" s="14" t="inlineStr">
        <is>
          <t>Reserva</t>
        </is>
      </c>
      <c r="D3" s="14" t="inlineStr">
        <is>
          <t>Ya consolidadas (precedentes)</t>
        </is>
      </c>
      <c r="E3" s="14" t="inlineStr">
        <is>
          <t>Ventas shortlist (M€)</t>
        </is>
      </c>
    </row>
    <row r="4">
      <c r="A4" s="15" t="inlineStr">
        <is>
          <t>1 · Investigación de mercados pharma</t>
        </is>
      </c>
      <c r="B4" s="15">
        <f>COUNTIFS('Cribado Tesis A'!$A$5:$A$33,A4,'Cribado Tesis A'!$F$5:$F$33,"Shortlist")</f>
        <v/>
      </c>
      <c r="C4" s="15">
        <f>COUNTIFS('Cribado Tesis A'!$A$5:$A$33,A4,'Cribado Tesis A'!$F$5:$F$33,"Reserva")</f>
        <v/>
      </c>
      <c r="D4" s="15">
        <f>COUNTIFS('Cribado Tesis A'!$A$5:$A$33,A4,'Cribado Tesis A'!$F$5:$F$33,"Ya consolidada (precedente)")</f>
        <v/>
      </c>
      <c r="E4" s="15">
        <f>SUMIFS('Cribado Tesis A'!$J$5:$J$33,'Cribado Tesis A'!$A$5:$A$33,A4,'Cribado Tesis A'!$F$5:$F$33,"Shortlist")</f>
        <v/>
      </c>
    </row>
    <row r="5">
      <c r="A5" s="15" t="inlineStr">
        <is>
          <t>2 · Estrategia y consultoría</t>
        </is>
      </c>
      <c r="B5" s="15">
        <f>COUNTIFS('Cribado Tesis A'!$A$5:$A$33,A5,'Cribado Tesis A'!$F$5:$F$33,"Shortlist")</f>
        <v/>
      </c>
      <c r="C5" s="15">
        <f>COUNTIFS('Cribado Tesis A'!$A$5:$A$33,A5,'Cribado Tesis A'!$F$5:$F$33,"Reserva")</f>
        <v/>
      </c>
      <c r="D5" s="15">
        <f>COUNTIFS('Cribado Tesis A'!$A$5:$A$33,A5,'Cribado Tesis A'!$F$5:$F$33,"Ya consolidada (precedente)")</f>
        <v/>
      </c>
      <c r="E5" s="15">
        <f>SUMIFS('Cribado Tesis A'!$J$5:$J$33,'Cribado Tesis A'!$A$5:$A$33,A5,'Cribado Tesis A'!$F$5:$F$33,"Shortlist")</f>
        <v/>
      </c>
    </row>
    <row r="6">
      <c r="A6" s="15" t="inlineStr">
        <is>
          <t>3 · Evidencia (HEOR y RWE)</t>
        </is>
      </c>
      <c r="B6" s="15">
        <f>COUNTIFS('Cribado Tesis A'!$A$5:$A$33,A6,'Cribado Tesis A'!$F$5:$F$33,"Shortlist")</f>
        <v/>
      </c>
      <c r="C6" s="15">
        <f>COUNTIFS('Cribado Tesis A'!$A$5:$A$33,A6,'Cribado Tesis A'!$F$5:$F$33,"Reserva")</f>
        <v/>
      </c>
      <c r="D6" s="15">
        <f>COUNTIFS('Cribado Tesis A'!$A$5:$A$33,A6,'Cribado Tesis A'!$F$5:$F$33,"Ya consolidada (precedente)")</f>
        <v/>
      </c>
      <c r="E6" s="15">
        <f>SUMIFS('Cribado Tesis A'!$J$5:$J$33,'Cribado Tesis A'!$A$5:$A$33,A6,'Cribado Tesis A'!$F$5:$F$33,"Shortlist")</f>
        <v/>
      </c>
    </row>
    <row r="7">
      <c r="A7" s="15" t="inlineStr">
        <is>
          <t>4 · Acceso y pricing</t>
        </is>
      </c>
      <c r="B7" s="15">
        <f>COUNTIFS('Cribado Tesis A'!$A$5:$A$33,A7,'Cribado Tesis A'!$F$5:$F$33,"Shortlist")</f>
        <v/>
      </c>
      <c r="C7" s="15">
        <f>COUNTIFS('Cribado Tesis A'!$A$5:$A$33,A7,'Cribado Tesis A'!$F$5:$F$33,"Reserva")</f>
        <v/>
      </c>
      <c r="D7" s="15">
        <f>COUNTIFS('Cribado Tesis A'!$A$5:$A$33,A7,'Cribado Tesis A'!$F$5:$F$33,"Ya consolidada (precedente)")</f>
        <v/>
      </c>
      <c r="E7" s="15">
        <f>SUMIFS('Cribado Tesis A'!$J$5:$J$33,'Cribado Tesis A'!$A$5:$A$33,A7,'Cribado Tesis A'!$F$5:$F$33,"Shortlist")</f>
        <v/>
      </c>
    </row>
    <row r="8">
      <c r="A8" s="15" t="inlineStr">
        <is>
          <t>5 · Comunicación médica</t>
        </is>
      </c>
      <c r="B8" s="15">
        <f>COUNTIFS('Cribado Tesis A'!$A$5:$A$33,A8,'Cribado Tesis A'!$F$5:$F$33,"Shortlist")</f>
        <v/>
      </c>
      <c r="C8" s="15">
        <f>COUNTIFS('Cribado Tesis A'!$A$5:$A$33,A8,'Cribado Tesis A'!$F$5:$F$33,"Reserva")</f>
        <v/>
      </c>
      <c r="D8" s="15">
        <f>COUNTIFS('Cribado Tesis A'!$A$5:$A$33,A8,'Cribado Tesis A'!$F$5:$F$33,"Ya consolidada (precedente)")</f>
        <v/>
      </c>
      <c r="E8" s="15">
        <f>SUMIFS('Cribado Tesis A'!$J$5:$J$33,'Cribado Tesis A'!$A$5:$A$33,A8,'Cribado Tesis A'!$F$5:$F$33,"Shortlist")</f>
        <v/>
      </c>
    </row>
    <row r="9">
      <c r="A9" s="16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  <c r="E9" s="16">
        <f>SUM(E4:E8)</f>
        <v/>
      </c>
    </row>
    <row r="11">
      <c r="A11" s="17" t="inlineStr">
        <is>
          <t>Lectura: las capas 3 y 4 ya están en consolidación (Oblikue→PharmaLex, Weber→Vivactis, Outcomes'10→ProductLife, Omakase→G&amp;L) y en comunicación médica SANED→Medscape. Quedan pocas independientes: argumento de urgencia para la tesis A.</t>
        </is>
      </c>
    </row>
    <row r="12"/>
    <row r="13"/>
  </sheetData>
  <mergeCells count="1">
    <mergeCell ref="A11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2026-09-28T16:27:13Z</dcterms:created>
  <dcterms:modified xsi:type="dcterms:W3CDTF">2026-09-28T16:27:13Z</dcterms:modified>
</cp:coreProperties>
</file>