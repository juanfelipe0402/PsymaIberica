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is A · 15 targets" sheetId="1" state="visible" r:id="rId1"/>
    <sheet name="Tesis A · Top 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-"/>
    <numFmt numFmtId="165" formatCode="0.00%;[Red]-0.00%;-"/>
  </numFmts>
  <fonts count="13">
    <font>
      <name val="Calibri"/>
      <family val="2"/>
      <color theme="1"/>
      <sz val="11"/>
      <scheme val="minor"/>
    </font>
    <font>
      <name val="Arial"/>
      <b val="1"/>
      <color rgb="0014233C"/>
      <sz val="13"/>
    </font>
    <font>
      <name val="Arial"/>
      <i val="1"/>
      <color rgb="0056707F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color rgb="000000FF"/>
      <sz val="9"/>
    </font>
    <font>
      <name val="Arial"/>
      <b val="1"/>
      <color rgb="0014233C"/>
      <sz val="10"/>
    </font>
    <font>
      <name val="Arial"/>
      <color rgb="00000000"/>
      <sz val="9"/>
    </font>
    <font>
      <name val="Arial"/>
      <b val="1"/>
      <color rgb="000000FF"/>
      <sz val="9"/>
    </font>
    <font>
      <name val="Arial"/>
      <color rgb="00008000"/>
      <sz val="9"/>
    </font>
    <font>
      <name val="Arial"/>
      <b val="1"/>
      <color rgb="00000000"/>
      <sz val="9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4233C"/>
      </patternFill>
    </fill>
    <fill>
      <patternFill patternType="solid">
        <fgColor rgb="00FFFF00"/>
      </patternFill>
    </fill>
    <fill>
      <patternFill patternType="solid">
        <fgColor rgb="00F3F5F7"/>
      </patternFill>
    </fill>
  </fills>
  <borders count="2">
    <border>
      <left/>
      <right/>
      <top/>
      <bottom/>
      <diagonal/>
    </border>
    <border>
      <bottom style="thin">
        <color rgb="00C9D1D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6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0" fontId="7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164" fontId="10" fillId="0" borderId="1" applyAlignment="1" pivotButton="0" quotePrefix="0" xfId="0">
      <alignment vertical="top" wrapText="1"/>
    </xf>
    <xf numFmtId="165" fontId="8" fillId="0" borderId="1" applyAlignment="1" pivotButton="0" quotePrefix="0" xfId="0">
      <alignment vertical="top" wrapText="1"/>
    </xf>
    <xf numFmtId="0" fontId="11" fillId="4" borderId="0" pivotButton="0" quotePrefix="0" xfId="0"/>
    <xf numFmtId="164" fontId="11" fillId="4" borderId="0" pivotButton="0" quotePrefix="0" xfId="0"/>
    <xf numFmtId="165" fontId="11" fillId="4" borderId="0" pivotButton="0" quotePrefix="0" xfId="0"/>
    <xf numFmtId="164" fontId="9" fillId="4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50" customWidth="1" min="4" max="4"/>
    <col width="32" customWidth="1" min="5" max="5"/>
    <col width="40" customWidth="1" min="6" max="6"/>
    <col width="14" customWidth="1" min="7" max="7"/>
    <col width="10" customWidth="1" min="8" max="8"/>
    <col width="12" customWidth="1" min="9" max="9"/>
    <col width="9" customWidth="1" min="10" max="10"/>
    <col width="12" customWidth="1" min="11" max="11"/>
    <col width="12" customWidth="1" min="12" max="12"/>
    <col width="26" customWidth="1" min="13" max="13"/>
  </cols>
  <sheetData>
    <row r="1">
      <c r="A1" s="1" t="inlineStr">
        <is>
          <t>Tesis A · 15 targets por capa de la cadena de valor pharma (penúltima lámina)</t>
        </is>
      </c>
    </row>
    <row r="2">
      <c r="A2" s="2" t="inlineStr">
        <is>
          <t>Sin investigación de mercados. Origen: cribado de la Tesis A. Amarillo = completar con SABI. Negro = fórmula.</t>
        </is>
      </c>
    </row>
    <row r="4">
      <c r="A4" s="3" t="inlineStr">
        <is>
          <t>#</t>
        </is>
      </c>
      <c r="B4" s="3" t="inlineStr">
        <is>
          <t>Empresa</t>
        </is>
      </c>
      <c r="C4" s="3" t="inlineStr">
        <is>
          <t>Capa (vertical)</t>
        </is>
      </c>
      <c r="D4" s="3" t="inlineStr">
        <is>
          <t>Descripción de servicios</t>
        </is>
      </c>
      <c r="E4" s="3" t="inlineStr">
        <is>
          <t>Accionista / sede</t>
        </is>
      </c>
      <c r="F4" s="3" t="inlineStr">
        <is>
          <t>Encaje con la tesis</t>
        </is>
      </c>
      <c r="G4" s="3" t="inlineStr">
        <is>
          <t>Paso del build-up</t>
        </is>
      </c>
      <c r="H4" s="3" t="inlineStr">
        <is>
          <t>Confianza</t>
        </is>
      </c>
      <c r="I4" s="3" t="inlineStr">
        <is>
          <t>Ingresos (k€)</t>
        </is>
      </c>
      <c r="J4" s="3" t="inlineStr">
        <is>
          <t>Año dato</t>
        </is>
      </c>
      <c r="K4" s="3" t="inlineStr">
        <is>
          <t>EBITDA (k€)</t>
        </is>
      </c>
      <c r="L4" s="3" t="inlineStr">
        <is>
          <t>Margen EBITDA</t>
        </is>
      </c>
      <c r="M4" s="3" t="inlineStr">
        <is>
          <t>Origen</t>
        </is>
      </c>
    </row>
    <row r="5">
      <c r="A5" s="4" t="n">
        <v>1</v>
      </c>
      <c r="B5" s="5" t="inlineStr">
        <is>
          <t>Hygeia Consulting</t>
        </is>
      </c>
      <c r="C5" s="4" t="inlineStr">
        <is>
          <t>2 · Estrategia y consultoría</t>
        </is>
      </c>
      <c r="D5" s="4" t="inlineStr">
        <is>
          <t>Consultoría e investigación aplicada en gestión y evaluación de servicios y políticas sanitarias</t>
        </is>
      </c>
      <c r="E5" s="4" t="inlineStr">
        <is>
          <t>Independiente (verificar) · Madrid</t>
        </is>
      </c>
      <c r="F5" s="4" t="inlineStr">
        <is>
          <t>Del dato a la recomendación estratégica en salud</t>
        </is>
      </c>
      <c r="G5" s="4" t="inlineStr">
        <is>
          <t>Paso 1</t>
        </is>
      </c>
      <c r="H5" s="4" t="inlineStr">
        <is>
          <t>Media</t>
        </is>
      </c>
      <c r="I5" s="6" t="n"/>
      <c r="J5" s="7" t="n"/>
      <c r="K5" s="6" t="n"/>
      <c r="L5" s="8">
        <f>IF(AND(ISNUMBER(I5),ISNUMBER(K5),I5&lt;&gt;0),K5/I5,"n.d.")</f>
        <v/>
      </c>
      <c r="M5" s="4" t="inlineStr">
        <is>
          <t>Cribado Tesis A · Shortlist</t>
        </is>
      </c>
    </row>
    <row r="6">
      <c r="A6" s="4" t="n">
        <v>2</v>
      </c>
      <c r="B6" s="5" t="inlineStr">
        <is>
          <t>Luzán 5 Health Consulting</t>
        </is>
      </c>
      <c r="C6" s="4" t="inlineStr">
        <is>
          <t>2 · Estrategia y consultoría</t>
        </is>
      </c>
      <c r="D6" s="4" t="inlineStr">
        <is>
          <t>Consultoría en salud y formación; empresa familiar desde 1982</t>
        </is>
      </c>
      <c r="E6" s="4" t="inlineStr">
        <is>
          <t>Familiar · Madrid</t>
        </is>
      </c>
      <c r="F6" s="4" t="inlineStr">
        <is>
          <t>Consultoría + formación médica: cubre las capas 2 y 5</t>
        </is>
      </c>
      <c r="G6" s="4" t="inlineStr">
        <is>
          <t>Paso 1 (o 3)</t>
        </is>
      </c>
      <c r="H6" s="4" t="inlineStr">
        <is>
          <t>Alta</t>
        </is>
      </c>
      <c r="I6" s="6" t="n"/>
      <c r="J6" s="7" t="n"/>
      <c r="K6" s="6" t="n"/>
      <c r="L6" s="8">
        <f>IF(AND(ISNUMBER(I6),ISNUMBER(K6),I6&lt;&gt;0),K6/I6,"n.d.")</f>
        <v/>
      </c>
      <c r="M6" s="4" t="inlineStr">
        <is>
          <t>Cribado Tesis A · Shortlist</t>
        </is>
      </c>
    </row>
    <row r="7">
      <c r="A7" s="4" t="n">
        <v>3</v>
      </c>
      <c r="B7" s="5" t="inlineStr">
        <is>
          <t>Mediformplus</t>
        </is>
      </c>
      <c r="C7" s="4" t="inlineStr">
        <is>
          <t>2 · Estrategia y consultoría</t>
        </is>
      </c>
      <c r="D7" s="4" t="inlineStr">
        <is>
          <t>Formación y apoyo a la industria farmacéutica en estrategia comercial y trade marketing</t>
        </is>
      </c>
      <c r="E7" s="4" t="inlineStr">
        <is>
          <t>Independiente (verificar) · España (verificar)</t>
        </is>
      </c>
      <c r="F7" s="4" t="inlineStr">
        <is>
          <t>Estrategia comercial pharma; tamaño por confirmar</t>
        </is>
      </c>
      <c r="G7" s="4" t="inlineStr">
        <is>
          <t>Paso 1</t>
        </is>
      </c>
      <c r="H7" s="4" t="inlineStr">
        <is>
          <t>Baja</t>
        </is>
      </c>
      <c r="I7" s="6" t="n"/>
      <c r="J7" s="7" t="n"/>
      <c r="K7" s="6" t="n"/>
      <c r="L7" s="8">
        <f>IF(AND(ISNUMBER(I7),ISNUMBER(K7),I7&lt;&gt;0),K7/I7,"n.d.")</f>
        <v/>
      </c>
      <c r="M7" s="4" t="inlineStr">
        <is>
          <t>Cribado Tesis A · Reserva</t>
        </is>
      </c>
    </row>
    <row r="8">
      <c r="A8" s="4" t="n">
        <v>4</v>
      </c>
      <c r="B8" s="5" t="inlineStr">
        <is>
          <t>PORIB (Pharmacoeconomics &amp; Outcomes Research Iberia)</t>
        </is>
      </c>
      <c r="C8" s="4" t="inlineStr">
        <is>
          <t>3 · Evidencia (HEOR y RWE)</t>
        </is>
      </c>
      <c r="D8" s="4" t="inlineStr">
        <is>
          <t>HEOR, bioestadística, economía de la salud, market access y comunicación de resultados; fundada en 2004</t>
        </is>
      </c>
      <c r="E8" s="4" t="inlineStr">
        <is>
          <t>Independiente (empresa propia) · Pozuelo de Alarcón (Madrid)</t>
        </is>
      </c>
      <c r="F8" s="4" t="inlineStr">
        <is>
          <t>Evidencia + acceso en un solo paso</t>
        </is>
      </c>
      <c r="G8" s="4" t="inlineStr">
        <is>
          <t>Paso 2</t>
        </is>
      </c>
      <c r="H8" s="4" t="inlineStr">
        <is>
          <t>Alta</t>
        </is>
      </c>
      <c r="I8" s="6" t="n"/>
      <c r="J8" s="7" t="n"/>
      <c r="K8" s="6" t="n"/>
      <c r="L8" s="8">
        <f>IF(AND(ISNUMBER(I8),ISNUMBER(K8),I8&lt;&gt;0),K8/I8,"n.d.")</f>
        <v/>
      </c>
      <c r="M8" s="4" t="inlineStr">
        <is>
          <t>Cribado Tesis A · Shortlist</t>
        </is>
      </c>
    </row>
    <row r="9">
      <c r="A9" s="4" t="n">
        <v>5</v>
      </c>
      <c r="B9" s="5" t="inlineStr">
        <is>
          <t>Axentiva Solutions</t>
        </is>
      </c>
      <c r="C9" s="4" t="inlineStr">
        <is>
          <t>3 · Evidencia (HEOR y RWE)</t>
        </is>
      </c>
      <c r="D9" s="4" t="inlineStr">
        <is>
          <t>HEOR y market access; Top 10 HEOR Europa 2023</t>
        </is>
      </c>
      <c r="E9" s="4" t="inlineStr">
        <is>
          <t>Fundador (Carlos Crespo) · Barcelona</t>
        </is>
      </c>
      <c r="F9" s="4" t="inlineStr">
        <is>
          <t>Modelización HEOR con equipo académico</t>
        </is>
      </c>
      <c r="G9" s="4" t="inlineStr">
        <is>
          <t>Paso 2</t>
        </is>
      </c>
      <c r="H9" s="4" t="inlineStr">
        <is>
          <t>Alta</t>
        </is>
      </c>
      <c r="I9" s="6" t="n"/>
      <c r="J9" s="7" t="n"/>
      <c r="K9" s="6" t="n"/>
      <c r="L9" s="8">
        <f>IF(AND(ISNUMBER(I9),ISNUMBER(K9),I9&lt;&gt;0),K9/I9,"n.d.")</f>
        <v/>
      </c>
      <c r="M9" s="4" t="inlineStr">
        <is>
          <t>Cribado Tesis A · Shortlist</t>
        </is>
      </c>
    </row>
    <row r="10">
      <c r="A10" s="4" t="n">
        <v>6</v>
      </c>
      <c r="B10" s="5" t="inlineStr">
        <is>
          <t>OXON Epidemiology</t>
        </is>
      </c>
      <c r="C10" s="4" t="inlineStr">
        <is>
          <t>3 · Evidencia (HEOR y RWE)</t>
        </is>
      </c>
      <c r="D10" s="4" t="inlineStr">
        <is>
          <t>CRO de RWE: estudios observacionales, farmacoepidemiología, HEOR; centro ENCePP</t>
        </is>
      </c>
      <c r="E10" s="4" t="inlineStr">
        <is>
          <t>Verificar (posible vínculo con Syneos) · Madrid / Londres</t>
        </is>
      </c>
      <c r="F10" s="4" t="inlineStr">
        <is>
          <t>Aporta RWE, la parte que más crece</t>
        </is>
      </c>
      <c r="G10" s="4" t="inlineStr">
        <is>
          <t>Paso 2</t>
        </is>
      </c>
      <c r="H10" s="4" t="inlineStr">
        <is>
          <t>Media</t>
        </is>
      </c>
      <c r="I10" s="6" t="n"/>
      <c r="J10" s="7" t="n"/>
      <c r="K10" s="6" t="n"/>
      <c r="L10" s="8">
        <f>IF(AND(ISNUMBER(I10),ISNUMBER(K10),I10&lt;&gt;0),K10/I10,"n.d.")</f>
        <v/>
      </c>
      <c r="M10" s="4" t="inlineStr">
        <is>
          <t>Cribado Tesis A · Shortlist</t>
        </is>
      </c>
    </row>
    <row r="11">
      <c r="A11" s="4" t="n">
        <v>7</v>
      </c>
      <c r="B11" s="5" t="inlineStr">
        <is>
          <t>Get Access Consulting</t>
        </is>
      </c>
      <c r="C11" s="4" t="inlineStr">
        <is>
          <t>4 · Acceso y pricing</t>
        </is>
      </c>
      <c r="D11" s="4" t="inlineStr">
        <is>
          <t>Precio y reembolso, acceso temprano y market access regional; oncología, hospital y enfermedades raras</t>
        </is>
      </c>
      <c r="E11" s="4" t="inlineStr">
        <is>
          <t>Independiente (verificar) · España (verificar sede)</t>
        </is>
      </c>
      <c r="F11" s="4" t="inlineStr">
        <is>
          <t>Acceso y precio: se vende junto a la evidencia</t>
        </is>
      </c>
      <c r="G11" s="4" t="inlineStr">
        <is>
          <t>Paso 2</t>
        </is>
      </c>
      <c r="H11" s="4" t="inlineStr">
        <is>
          <t>Media</t>
        </is>
      </c>
      <c r="I11" s="6" t="n"/>
      <c r="J11" s="7" t="n"/>
      <c r="K11" s="6" t="n"/>
      <c r="L11" s="8">
        <f>IF(AND(ISNUMBER(I11),ISNUMBER(K11),I11&lt;&gt;0),K11/I11,"n.d.")</f>
        <v/>
      </c>
      <c r="M11" s="4" t="inlineStr">
        <is>
          <t>Cribado Tesis A · Shortlist</t>
        </is>
      </c>
    </row>
    <row r="12">
      <c r="A12" s="4" t="n">
        <v>8</v>
      </c>
      <c r="B12" s="5" t="inlineStr">
        <is>
          <t>RCAPharma</t>
        </is>
      </c>
      <c r="C12" s="4" t="inlineStr">
        <is>
          <t>4 · Acceso y pricing</t>
        </is>
      </c>
      <c r="D12" s="4" t="inlineStr">
        <is>
          <t>Asesoría regulatoria, farmacovigilancia y acceso al mercado; fundada en 1991</t>
        </is>
      </c>
      <c r="E12" s="4" t="inlineStr">
        <is>
          <t>Independiente (verificar) · Madrid</t>
        </is>
      </c>
      <c r="F12" s="4" t="inlineStr">
        <is>
          <t>Acceso + regulatorio con cartera de laboratorios</t>
        </is>
      </c>
      <c r="G12" s="4" t="inlineStr">
        <is>
          <t>Paso 2</t>
        </is>
      </c>
      <c r="H12" s="4" t="inlineStr">
        <is>
          <t>Media</t>
        </is>
      </c>
      <c r="I12" s="6" t="n"/>
      <c r="J12" s="7" t="n"/>
      <c r="K12" s="6" t="n"/>
      <c r="L12" s="8">
        <f>IF(AND(ISNUMBER(I12),ISNUMBER(K12),I12&lt;&gt;0),K12/I12,"n.d.")</f>
        <v/>
      </c>
      <c r="M12" s="4" t="inlineStr">
        <is>
          <t>Cribado Tesis A · Shortlist</t>
        </is>
      </c>
    </row>
    <row r="13">
      <c r="A13" s="4" t="n">
        <v>9</v>
      </c>
      <c r="B13" s="5" t="inlineStr">
        <is>
          <t>Ergon</t>
        </is>
      </c>
      <c r="C13" s="4" t="inlineStr">
        <is>
          <t>5 · Comunicación médica</t>
        </is>
      </c>
      <c r="D13" s="4" t="inlineStr">
        <is>
          <t>Comunicación médica y edición científica para la industria farmacéutica; +30 años</t>
        </is>
      </c>
      <c r="E13" s="4" t="inlineStr">
        <is>
          <t>Independiente (verificar) · Madrid</t>
        </is>
      </c>
      <c r="F13" s="4" t="inlineStr">
        <is>
          <t>Contenido científico y relación con sociedades médicas</t>
        </is>
      </c>
      <c r="G13" s="4" t="inlineStr">
        <is>
          <t>Paso 3</t>
        </is>
      </c>
      <c r="H13" s="4" t="inlineStr">
        <is>
          <t>Media</t>
        </is>
      </c>
      <c r="I13" s="6" t="n"/>
      <c r="J13" s="7" t="n"/>
      <c r="K13" s="6" t="n"/>
      <c r="L13" s="8">
        <f>IF(AND(ISNUMBER(I13),ISNUMBER(K13),I13&lt;&gt;0),K13/I13,"n.d.")</f>
        <v/>
      </c>
      <c r="M13" s="4" t="inlineStr">
        <is>
          <t>Cribado Tesis A · Shortlist</t>
        </is>
      </c>
    </row>
    <row r="14">
      <c r="A14" s="4" t="n">
        <v>10</v>
      </c>
      <c r="B14" s="5" t="inlineStr">
        <is>
          <t>Doctaforum</t>
        </is>
      </c>
      <c r="C14" s="4" t="inlineStr">
        <is>
          <t>5 · Comunicación médica</t>
        </is>
      </c>
      <c r="D14" s="4" t="inlineStr">
        <is>
          <t>Comunicación en salud, consultoría científica y eventos médicos; +50 empleados</t>
        </is>
      </c>
      <c r="E14" s="4" t="inlineStr">
        <is>
          <t>Independiente (verificar) · Madrid</t>
        </is>
      </c>
      <c r="F14" s="4" t="inlineStr">
        <is>
          <t>Eventos y congresos: ingreso recurrente tras el lanzamiento</t>
        </is>
      </c>
      <c r="G14" s="4" t="inlineStr">
        <is>
          <t>Paso 3</t>
        </is>
      </c>
      <c r="H14" s="4" t="inlineStr">
        <is>
          <t>Media</t>
        </is>
      </c>
      <c r="I14" s="6" t="n"/>
      <c r="J14" s="7" t="n"/>
      <c r="K14" s="6" t="n"/>
      <c r="L14" s="8">
        <f>IF(AND(ISNUMBER(I14),ISNUMBER(K14),I14&lt;&gt;0),K14/I14,"n.d.")</f>
        <v/>
      </c>
      <c r="M14" s="4" t="inlineStr">
        <is>
          <t>Cribado Tesis A · Shortlist</t>
        </is>
      </c>
    </row>
    <row r="15">
      <c r="A15" s="4" t="n">
        <v>11</v>
      </c>
      <c r="B15" s="5" t="inlineStr">
        <is>
          <t>Content Ed Net</t>
        </is>
      </c>
      <c r="C15" s="4" t="inlineStr">
        <is>
          <t>5 · Comunicación médica</t>
        </is>
      </c>
      <c r="D15" s="4" t="inlineStr">
        <is>
          <t>Redacción médica y comunicación científica</t>
        </is>
      </c>
      <c r="E15" s="4" t="inlineStr">
        <is>
          <t>Verificar · Madrid</t>
        </is>
      </c>
      <c r="F15" s="4" t="inlineStr">
        <is>
          <t>Medical writing para lanzamientos</t>
        </is>
      </c>
      <c r="G15" s="4" t="inlineStr">
        <is>
          <t>Paso 3</t>
        </is>
      </c>
      <c r="H15" s="4" t="inlineStr">
        <is>
          <t>Media</t>
        </is>
      </c>
      <c r="I15" s="6" t="n"/>
      <c r="J15" s="7" t="n"/>
      <c r="K15" s="6" t="n"/>
      <c r="L15" s="8">
        <f>IF(AND(ISNUMBER(I15),ISNUMBER(K15),I15&lt;&gt;0),K15/I15,"n.d.")</f>
        <v/>
      </c>
      <c r="M15" s="4" t="inlineStr">
        <is>
          <t>Cribado Tesis A · Shortlist</t>
        </is>
      </c>
    </row>
    <row r="16">
      <c r="A16" s="4" t="n">
        <v>12</v>
      </c>
      <c r="B16" s="5" t="inlineStr">
        <is>
          <t>Pulso Ediciones</t>
        </is>
      </c>
      <c r="C16" s="4" t="inlineStr">
        <is>
          <t>5 · Comunicación médica</t>
        </is>
      </c>
      <c r="D16" s="4" t="inlineStr">
        <is>
          <t>Formación médica continuada y edición; fundada en 1979</t>
        </is>
      </c>
      <c r="E16" s="4" t="inlineStr">
        <is>
          <t>Verificar · Barcelona</t>
        </is>
      </c>
      <c r="F16" s="4" t="inlineStr">
        <is>
          <t>Formación médica continuada acreditada</t>
        </is>
      </c>
      <c r="G16" s="4" t="inlineStr">
        <is>
          <t>Paso 3</t>
        </is>
      </c>
      <c r="H16" s="4" t="inlineStr">
        <is>
          <t>Media</t>
        </is>
      </c>
      <c r="I16" s="6" t="n"/>
      <c r="J16" s="7" t="n"/>
      <c r="K16" s="6" t="n"/>
      <c r="L16" s="8">
        <f>IF(AND(ISNUMBER(I16),ISNUMBER(K16),I16&lt;&gt;0),K16/I16,"n.d.")</f>
        <v/>
      </c>
      <c r="M16" s="4" t="inlineStr">
        <is>
          <t>Cribado Tesis A · Shortlist</t>
        </is>
      </c>
    </row>
    <row r="17">
      <c r="A17" s="4" t="n">
        <v>13</v>
      </c>
      <c r="B17" s="5" t="inlineStr">
        <is>
          <t>Ediciones Mayo</t>
        </is>
      </c>
      <c r="C17" s="4" t="inlineStr">
        <is>
          <t>5 · Comunicación médica</t>
        </is>
      </c>
      <c r="D17" s="4" t="inlineStr">
        <is>
          <t>Edición y comunicación en salud; +25 años</t>
        </is>
      </c>
      <c r="E17" s="4" t="inlineStr">
        <is>
          <t>Verificar · Barcelona</t>
        </is>
      </c>
      <c r="F17" s="4" t="inlineStr">
        <is>
          <t>Alternativa a Pulso en Barcelona</t>
        </is>
      </c>
      <c r="G17" s="4" t="inlineStr">
        <is>
          <t>Paso 3</t>
        </is>
      </c>
      <c r="H17" s="4" t="inlineStr">
        <is>
          <t>Baja</t>
        </is>
      </c>
      <c r="I17" s="6" t="n"/>
      <c r="J17" s="7" t="n"/>
      <c r="K17" s="6" t="n"/>
      <c r="L17" s="8">
        <f>IF(AND(ISNUMBER(I17),ISNUMBER(K17),I17&lt;&gt;0),K17/I17,"n.d.")</f>
        <v/>
      </c>
      <c r="M17" s="4" t="inlineStr">
        <is>
          <t>Cribado Tesis A · Reserva</t>
        </is>
      </c>
    </row>
    <row r="18">
      <c r="A18" s="4" t="n">
        <v>14</v>
      </c>
      <c r="B18" s="5" t="inlineStr">
        <is>
          <t>Medical Media</t>
        </is>
      </c>
      <c r="C18" s="4" t="inlineStr">
        <is>
          <t>5 · Comunicación médica</t>
        </is>
      </c>
      <c r="D18" s="4" t="inlineStr">
        <is>
          <t>Agencia médica, productora audiovisual y cursos médicos; desde 2004</t>
        </is>
      </c>
      <c r="E18" s="4" t="inlineStr">
        <is>
          <t>Verificar · España</t>
        </is>
      </c>
      <c r="F18" s="4" t="inlineStr">
        <is>
          <t>Add-on pequeño</t>
        </is>
      </c>
      <c r="G18" s="4" t="inlineStr">
        <is>
          <t>Paso 3</t>
        </is>
      </c>
      <c r="H18" s="4" t="inlineStr">
        <is>
          <t>Baja</t>
        </is>
      </c>
      <c r="I18" s="6" t="n"/>
      <c r="J18" s="7" t="n"/>
      <c r="K18" s="6" t="n"/>
      <c r="L18" s="8">
        <f>IF(AND(ISNUMBER(I18),ISNUMBER(K18),I18&lt;&gt;0),K18/I18,"n.d.")</f>
        <v/>
      </c>
      <c r="M18" s="4" t="inlineStr">
        <is>
          <t>Cribado Tesis A · Reserva</t>
        </is>
      </c>
    </row>
    <row r="19">
      <c r="A19" s="4" t="n">
        <v>15</v>
      </c>
      <c r="B19" s="5" t="inlineStr">
        <is>
          <t>Esmon Pharma</t>
        </is>
      </c>
      <c r="C19" s="4" t="inlineStr">
        <is>
          <t>5 · Comunicación médica</t>
        </is>
      </c>
      <c r="D19" s="4" t="inlineStr">
        <is>
          <t>Editorial y comunicación médica</t>
        </is>
      </c>
      <c r="E19" s="4" t="inlineStr">
        <is>
          <t>Verificar · España (verificar)</t>
        </is>
      </c>
      <c r="F19" s="4" t="inlineStr">
        <is>
          <t>Completa la capa de comunicación médica</t>
        </is>
      </c>
      <c r="G19" s="4" t="inlineStr">
        <is>
          <t>Paso 3</t>
        </is>
      </c>
      <c r="H19" s="4" t="inlineStr">
        <is>
          <t>Baja</t>
        </is>
      </c>
      <c r="I19" s="6" t="n"/>
      <c r="J19" s="7" t="n"/>
      <c r="K19" s="6" t="n"/>
      <c r="L19" s="8">
        <f>IF(AND(ISNUMBER(I19),ISNUMBER(K19),I19&lt;&gt;0),K19/I19,"n.d.")</f>
        <v/>
      </c>
      <c r="M19" s="4" t="inlineStr">
        <is>
          <t>Añadida para completar 15</t>
        </is>
      </c>
    </row>
    <row r="21">
      <c r="B21" s="9" t="inlineStr">
        <is>
          <t>Distribución por capa</t>
        </is>
      </c>
    </row>
    <row r="22">
      <c r="B22" s="10" t="inlineStr">
        <is>
          <t>Capa</t>
        </is>
      </c>
      <c r="C22" s="10" t="inlineStr">
        <is>
          <t>Nº empresas</t>
        </is>
      </c>
    </row>
    <row r="23">
      <c r="B23" s="11" t="inlineStr">
        <is>
          <t>2 · Estrategia y consultoría</t>
        </is>
      </c>
      <c r="C23" s="11">
        <f>COUNTIF($C$5:$C$19,B23)</f>
        <v/>
      </c>
    </row>
    <row r="24">
      <c r="B24" s="11" t="inlineStr">
        <is>
          <t>3 · Evidencia (HEOR y RWE)</t>
        </is>
      </c>
      <c r="C24" s="11">
        <f>COUNTIF($C$5:$C$19,B24)</f>
        <v/>
      </c>
    </row>
    <row r="25">
      <c r="B25" s="11" t="inlineStr">
        <is>
          <t>4 · Acceso y pricing</t>
        </is>
      </c>
      <c r="C25" s="11">
        <f>COUNTIF($C$5:$C$19,B25)</f>
        <v/>
      </c>
    </row>
    <row r="26">
      <c r="B26" s="11" t="inlineStr">
        <is>
          <t>5 · Comunicación médica</t>
        </is>
      </c>
      <c r="C26" s="11">
        <f>COUNTIF($C$5:$C$19,B26)</f>
        <v/>
      </c>
    </row>
    <row r="27">
      <c r="B27" s="12" t="inlineStr">
        <is>
          <t>Total</t>
        </is>
      </c>
      <c r="C27" s="12">
        <f>SUM(C23:C26)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60" customWidth="1" min="4" max="4"/>
    <col width="12" customWidth="1" min="5" max="5"/>
    <col width="9" customWidth="1" min="6" max="6"/>
    <col width="12" customWidth="1" min="7" max="7"/>
    <col width="12" customWidth="1" min="8" max="8"/>
  </cols>
  <sheetData>
    <row r="1">
      <c r="A1" s="1" t="inlineStr">
        <is>
          <t>Tesis A · Top 5 que maximiza el EV (última lámina)</t>
        </is>
      </c>
    </row>
    <row r="2" ht="30" customHeight="1">
      <c r="A2" s="13" t="inlineStr">
        <is>
          <t>Criterio: una empresa por capa (2, 3, 4 y 5) + una segunda en evidencia. La tesis A sube el múltiplo al completar las capas («mismo cliente, más capas, mayor múltiplo»). Cifras enlazadas a la hoja de 15: se rellenan al meter SABI.</t>
        </is>
      </c>
    </row>
    <row r="4">
      <c r="A4" s="3" t="inlineStr">
        <is>
          <t>#</t>
        </is>
      </c>
      <c r="B4" s="3" t="inlineStr">
        <is>
          <t>Empresa</t>
        </is>
      </c>
      <c r="C4" s="3" t="inlineStr">
        <is>
          <t>Capa (vertical)</t>
        </is>
      </c>
      <c r="D4" s="3" t="inlineStr">
        <is>
          <t>Por qué entra</t>
        </is>
      </c>
      <c r="E4" s="3" t="inlineStr">
        <is>
          <t>Ingresos (k€)</t>
        </is>
      </c>
      <c r="F4" s="3" t="inlineStr">
        <is>
          <t>Año dato</t>
        </is>
      </c>
      <c r="G4" s="3" t="inlineStr">
        <is>
          <t>EBITDA (k€)</t>
        </is>
      </c>
      <c r="H4" s="3" t="inlineStr">
        <is>
          <t>Margen EBITDA</t>
        </is>
      </c>
    </row>
    <row r="5">
      <c r="A5" s="14" t="n">
        <v>1</v>
      </c>
      <c r="B5" s="15" t="inlineStr">
        <is>
          <t>Luzán 5 Health Consulting</t>
        </is>
      </c>
      <c r="C5" s="16">
        <f>INDEX('Tesis A · 15 targets'!$C$5:$C$19,MATCH(B5,'Tesis A · 15 targets'!$B$5:$B$19,0))</f>
        <v/>
      </c>
      <c r="D5" s="14" t="inlineStr">
        <is>
          <t>Paso 1: consultoría + formación médica; empresa familiar desde 1982 (posible sucesión)</t>
        </is>
      </c>
      <c r="E5" s="17">
        <f>IF(ISNUMBER(INDEX('Tesis A · 15 targets'!$I$5:$I$19,MATCH(B5,'Tesis A · 15 targets'!$B$5:$B$19,0))),INDEX('Tesis A · 15 targets'!$I$5:$I$19,MATCH(B5,'Tesis A · 15 targets'!$B$5:$B$19,0)),"[SABI]")</f>
        <v/>
      </c>
      <c r="F5" s="16">
        <f>IF(INDEX('Tesis A · 15 targets'!$J$5:$J$19,MATCH(B5,'Tesis A · 15 targets'!$B$5:$B$19,0))="","[SABI]",INDEX('Tesis A · 15 targets'!$J$5:$J$19,MATCH(B5,'Tesis A · 15 targets'!$B$5:$B$19,0)))</f>
        <v/>
      </c>
      <c r="G5" s="17">
        <f>IF(ISNUMBER(INDEX('Tesis A · 15 targets'!$K$5:$K$19,MATCH(B5,'Tesis A · 15 targets'!$B$5:$B$19,0))),INDEX('Tesis A · 15 targets'!$K$5:$K$19,MATCH(B5,'Tesis A · 15 targets'!$B$5:$B$19,0)),"[SABI]")</f>
        <v/>
      </c>
      <c r="H5" s="18">
        <f>IFERROR(G5/E5,"n.d.")</f>
        <v/>
      </c>
    </row>
    <row r="6">
      <c r="A6" s="14" t="n">
        <v>2</v>
      </c>
      <c r="B6" s="15" t="inlineStr">
        <is>
          <t>PORIB (Pharmacoeconomics &amp; Outcomes Research Iberia)</t>
        </is>
      </c>
      <c r="C6" s="16">
        <f>INDEX('Tesis A · 15 targets'!$C$5:$C$19,MATCH(B6,'Tesis A · 15 targets'!$B$5:$B$19,0))</f>
        <v/>
      </c>
      <c r="D6" s="14" t="inlineStr">
        <is>
          <t>Paso 2: HEOR y market access en una sola compra; independiente desde 2004</t>
        </is>
      </c>
      <c r="E6" s="17">
        <f>IF(ISNUMBER(INDEX('Tesis A · 15 targets'!$I$5:$I$19,MATCH(B6,'Tesis A · 15 targets'!$B$5:$B$19,0))),INDEX('Tesis A · 15 targets'!$I$5:$I$19,MATCH(B6,'Tesis A · 15 targets'!$B$5:$B$19,0)),"[SABI]")</f>
        <v/>
      </c>
      <c r="F6" s="16">
        <f>IF(INDEX('Tesis A · 15 targets'!$J$5:$J$19,MATCH(B6,'Tesis A · 15 targets'!$B$5:$B$19,0))="","[SABI]",INDEX('Tesis A · 15 targets'!$J$5:$J$19,MATCH(B6,'Tesis A · 15 targets'!$B$5:$B$19,0)))</f>
        <v/>
      </c>
      <c r="G6" s="17">
        <f>IF(ISNUMBER(INDEX('Tesis A · 15 targets'!$K$5:$K$19,MATCH(B6,'Tesis A · 15 targets'!$B$5:$B$19,0))),INDEX('Tesis A · 15 targets'!$K$5:$K$19,MATCH(B6,'Tesis A · 15 targets'!$B$5:$B$19,0)),"[SABI]")</f>
        <v/>
      </c>
      <c r="H6" s="18">
        <f>IFERROR(G6/E6,"n.d.")</f>
        <v/>
      </c>
    </row>
    <row r="7">
      <c r="A7" s="14" t="n">
        <v>3</v>
      </c>
      <c r="B7" s="15" t="inlineStr">
        <is>
          <t>Axentiva Solutions</t>
        </is>
      </c>
      <c r="C7" s="16">
        <f>INDEX('Tesis A · 15 targets'!$C$5:$C$19,MATCH(B7,'Tesis A · 15 targets'!$B$5:$B$19,0))</f>
        <v/>
      </c>
      <c r="D7" s="14" t="inlineStr">
        <is>
          <t>Paso 2: modelización HEOR; la evidencia es la capa que más crece</t>
        </is>
      </c>
      <c r="E7" s="17">
        <f>IF(ISNUMBER(INDEX('Tesis A · 15 targets'!$I$5:$I$19,MATCH(B7,'Tesis A · 15 targets'!$B$5:$B$19,0))),INDEX('Tesis A · 15 targets'!$I$5:$I$19,MATCH(B7,'Tesis A · 15 targets'!$B$5:$B$19,0)),"[SABI]")</f>
        <v/>
      </c>
      <c r="F7" s="16">
        <f>IF(INDEX('Tesis A · 15 targets'!$J$5:$J$19,MATCH(B7,'Tesis A · 15 targets'!$B$5:$B$19,0))="","[SABI]",INDEX('Tesis A · 15 targets'!$J$5:$J$19,MATCH(B7,'Tesis A · 15 targets'!$B$5:$B$19,0)))</f>
        <v/>
      </c>
      <c r="G7" s="17">
        <f>IF(ISNUMBER(INDEX('Tesis A · 15 targets'!$K$5:$K$19,MATCH(B7,'Tesis A · 15 targets'!$B$5:$B$19,0))),INDEX('Tesis A · 15 targets'!$K$5:$K$19,MATCH(B7,'Tesis A · 15 targets'!$B$5:$B$19,0)),"[SABI]")</f>
        <v/>
      </c>
      <c r="H7" s="18">
        <f>IFERROR(G7/E7,"n.d.")</f>
        <v/>
      </c>
    </row>
    <row r="8">
      <c r="A8" s="14" t="n">
        <v>4</v>
      </c>
      <c r="B8" s="15" t="inlineStr">
        <is>
          <t>Get Access Consulting</t>
        </is>
      </c>
      <c r="C8" s="16">
        <f>INDEX('Tesis A · 15 targets'!$C$5:$C$19,MATCH(B8,'Tesis A · 15 targets'!$B$5:$B$19,0))</f>
        <v/>
      </c>
      <c r="D8" s="14" t="inlineStr">
        <is>
          <t>Paso 2: precio, reembolso y acceso temprano; se vende junto a la evidencia</t>
        </is>
      </c>
      <c r="E8" s="17">
        <f>IF(ISNUMBER(INDEX('Tesis A · 15 targets'!$I$5:$I$19,MATCH(B8,'Tesis A · 15 targets'!$B$5:$B$19,0))),INDEX('Tesis A · 15 targets'!$I$5:$I$19,MATCH(B8,'Tesis A · 15 targets'!$B$5:$B$19,0)),"[SABI]")</f>
        <v/>
      </c>
      <c r="F8" s="16">
        <f>IF(INDEX('Tesis A · 15 targets'!$J$5:$J$19,MATCH(B8,'Tesis A · 15 targets'!$B$5:$B$19,0))="","[SABI]",INDEX('Tesis A · 15 targets'!$J$5:$J$19,MATCH(B8,'Tesis A · 15 targets'!$B$5:$B$19,0)))</f>
        <v/>
      </c>
      <c r="G8" s="17">
        <f>IF(ISNUMBER(INDEX('Tesis A · 15 targets'!$K$5:$K$19,MATCH(B8,'Tesis A · 15 targets'!$B$5:$B$19,0))),INDEX('Tesis A · 15 targets'!$K$5:$K$19,MATCH(B8,'Tesis A · 15 targets'!$B$5:$B$19,0)),"[SABI]")</f>
        <v/>
      </c>
      <c r="H8" s="18">
        <f>IFERROR(G8/E8,"n.d.")</f>
        <v/>
      </c>
    </row>
    <row r="9">
      <c r="A9" s="14" t="n">
        <v>5</v>
      </c>
      <c r="B9" s="15" t="inlineStr">
        <is>
          <t>Doctaforum</t>
        </is>
      </c>
      <c r="C9" s="16">
        <f>INDEX('Tesis A · 15 targets'!$C$5:$C$19,MATCH(B9,'Tesis A · 15 targets'!$B$5:$B$19,0))</f>
        <v/>
      </c>
      <c r="D9" s="14" t="inlineStr">
        <is>
          <t>Paso 3: eventos y congresos médicos; recurrencia tras el lanzamiento; +50 empleados</t>
        </is>
      </c>
      <c r="E9" s="17">
        <f>IF(ISNUMBER(INDEX('Tesis A · 15 targets'!$I$5:$I$19,MATCH(B9,'Tesis A · 15 targets'!$B$5:$B$19,0))),INDEX('Tesis A · 15 targets'!$I$5:$I$19,MATCH(B9,'Tesis A · 15 targets'!$B$5:$B$19,0)),"[SABI]")</f>
        <v/>
      </c>
      <c r="F9" s="16">
        <f>IF(INDEX('Tesis A · 15 targets'!$J$5:$J$19,MATCH(B9,'Tesis A · 15 targets'!$B$5:$B$19,0))="","[SABI]",INDEX('Tesis A · 15 targets'!$J$5:$J$19,MATCH(B9,'Tesis A · 15 targets'!$B$5:$B$19,0)))</f>
        <v/>
      </c>
      <c r="G9" s="17">
        <f>IF(ISNUMBER(INDEX('Tesis A · 15 targets'!$K$5:$K$19,MATCH(B9,'Tesis A · 15 targets'!$B$5:$B$19,0))),INDEX('Tesis A · 15 targets'!$K$5:$K$19,MATCH(B9,'Tesis A · 15 targets'!$B$5:$B$19,0)),"[SABI]")</f>
        <v/>
      </c>
      <c r="H9" s="18">
        <f>IFERROR(G9/E9,"n.d.")</f>
        <v/>
      </c>
    </row>
    <row r="11">
      <c r="B11" s="19" t="inlineStr">
        <is>
          <t>Total 5 adquisiciones</t>
        </is>
      </c>
      <c r="E11" s="20">
        <f>SUM(E5:E9)</f>
        <v/>
      </c>
      <c r="G11" s="20">
        <f>SUM(G5:G9)</f>
        <v/>
      </c>
      <c r="H11" s="21">
        <f>IFERROR(G11/E11,"n.d.")</f>
        <v/>
      </c>
    </row>
    <row r="12">
      <c r="B12" s="19" t="inlineStr">
        <is>
          <t>Psyma Ibérica hoy (SABI 2024)</t>
        </is>
      </c>
      <c r="E12" s="22" t="n">
        <v>3789</v>
      </c>
      <c r="G12" s="22" t="n">
        <v>39</v>
      </c>
      <c r="H12" s="21">
        <f>IFERROR(G12/E12,"n.d.")</f>
        <v/>
      </c>
    </row>
    <row r="13">
      <c r="B13" s="19" t="inlineStr">
        <is>
          <t>Psyma + 5 targets (proforma)</t>
        </is>
      </c>
      <c r="E13" s="20">
        <f>E11+E12</f>
        <v/>
      </c>
      <c r="G13" s="20">
        <f>G11+G12</f>
        <v/>
      </c>
      <c r="H13" s="21">
        <f>IFERROR(G13/E13,"n.d.")</f>
        <v/>
      </c>
    </row>
    <row r="15">
      <c r="B15" s="23" t="inlineStr">
        <is>
          <t>Reservas si alguna no tiene cuentas en SABI: Hygeia Consulting (capa 2), OXON Epidemiology (capa 3), RCAPharma (capa 4), Ergon (capa 5). Cambia el nombre en la columna B y todo se recalcula.</t>
        </is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2026-09-28T17:42:56Z</dcterms:created>
  <dcterms:modified xsi:type="dcterms:W3CDTF">2026-09-28T17:42:56Z</dcterms:modified>
</cp:coreProperties>
</file>