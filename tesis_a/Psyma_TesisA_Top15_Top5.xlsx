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is A · 15 targets" sheetId="1" state="visible" r:id="rId1"/>
    <sheet name="Tesis A · Top 5" sheetId="2" state="visible" r:id="rId2"/>
    <sheet name="Exclu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0%;[Red]-0.00%;-"/>
  </numFmts>
  <fonts count="15">
    <font>
      <name val="Calibri"/>
      <family val="2"/>
      <color theme="1"/>
      <sz val="11"/>
      <scheme val="minor"/>
    </font>
    <font>
      <name val="Arial"/>
      <b val="1"/>
      <color rgb="0014233C"/>
      <sz val="13"/>
    </font>
    <font>
      <name val="Arial"/>
      <i val="1"/>
      <color rgb="0056707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color rgb="000000FF"/>
      <sz val="9"/>
    </font>
    <font>
      <name val="Arial"/>
      <sz val="9"/>
    </font>
    <font>
      <name val="Arial"/>
      <b val="1"/>
      <sz val="9"/>
    </font>
    <font>
      <name val="Arial"/>
      <b val="1"/>
      <color rgb="0014233C"/>
      <sz val="10"/>
    </font>
    <font>
      <name val="Arial"/>
      <i val="1"/>
      <sz val="9"/>
    </font>
    <font>
      <name val="Arial"/>
      <b val="1"/>
      <color rgb="00008000"/>
      <sz val="9"/>
    </font>
    <font>
      <name val="Arial"/>
      <color rgb="00008000"/>
      <sz val="9"/>
    </font>
    <font>
      <name val="Arial"/>
      <b val="1"/>
      <color rgb="000000FF"/>
      <sz val="9"/>
    </font>
    <font>
      <name val="Arial"/>
      <b val="1"/>
      <color rgb="0014233C"/>
      <sz val="12"/>
    </font>
  </fonts>
  <fills count="4">
    <fill>
      <patternFill/>
    </fill>
    <fill>
      <patternFill patternType="gray125"/>
    </fill>
    <fill>
      <patternFill patternType="solid">
        <fgColor rgb="0014233C"/>
      </patternFill>
    </fill>
    <fill>
      <patternFill patternType="solid">
        <fgColor rgb="00F3F5F7"/>
      </patternFill>
    </fill>
  </fills>
  <borders count="2">
    <border>
      <left/>
      <right/>
      <top/>
      <bottom/>
      <diagonal/>
    </border>
    <border>
      <bottom style="thin">
        <color rgb="00C9D1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5" fontId="7" fillId="0" borderId="1" pivotButton="0" quotePrefix="0" xfId="0"/>
    <xf numFmtId="0" fontId="7" fillId="0" borderId="1" pivotButton="0" quotePrefix="0" xfId="0"/>
    <xf numFmtId="0" fontId="8" fillId="0" borderId="0" pivotButton="0" quotePrefix="0" xfId="0"/>
    <xf numFmtId="164" fontId="8" fillId="3" borderId="0" pivotButton="0" quotePrefix="0" xfId="0"/>
    <xf numFmtId="165" fontId="8" fillId="3" borderId="0" pivotButton="0" quotePrefix="0" xfId="0"/>
    <xf numFmtId="0" fontId="9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164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2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4" fontId="13" fillId="3" borderId="0" pivotButton="0" quotePrefix="0" xfId="0"/>
    <xf numFmtId="0" fontId="14" fillId="0" borderId="0" pivotButton="0" quotePrefix="0" xfId="0"/>
    <xf numFmtId="164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34" customWidth="1" min="3" max="3"/>
    <col width="16" customWidth="1" min="4" max="4"/>
    <col width="54" customWidth="1" min="5" max="5"/>
    <col width="40" customWidth="1" min="6" max="6"/>
    <col width="30" customWidth="1" min="7" max="7"/>
    <col width="13" customWidth="1" min="8" max="8"/>
    <col width="13" customWidth="1" min="9" max="9"/>
    <col width="13" customWidth="1" min="10" max="10"/>
    <col width="12" customWidth="1" min="11" max="11"/>
    <col hidden="1" width="10" customWidth="1" min="12" max="12"/>
  </cols>
  <sheetData>
    <row r="1">
      <c r="A1" s="1" t="inlineStr">
        <is>
          <t>Tesis A · 15 targets por pata (penúltima lámina)</t>
        </is>
      </c>
    </row>
    <row r="2">
      <c r="A2" s="2" t="inlineStr">
        <is>
          <t>Fuente: «PSYMA - Tesis A lista» (SABI, mil €, último ejercicio disponible). Criterio: sin investigación de mercados, sin CROs, independientes, con cifras SABI y EBITDA positivo. Azul = dato SABI; negro = fórmula.</t>
        </is>
      </c>
    </row>
    <row r="4">
      <c r="A4" s="3" t="inlineStr">
        <is>
          <t>#</t>
        </is>
      </c>
      <c r="B4" s="3" t="inlineStr">
        <is>
          <t>Pata</t>
        </is>
      </c>
      <c r="C4" s="3" t="inlineStr">
        <is>
          <t>Empresa</t>
        </is>
      </c>
      <c r="D4" s="3" t="inlineStr">
        <is>
          <t>Sede</t>
        </is>
      </c>
      <c r="E4" s="3" t="inlineStr">
        <is>
          <t>Qué hace</t>
        </is>
      </c>
      <c r="F4" s="3" t="inlineStr">
        <is>
          <t>Encaje en la tesis</t>
        </is>
      </c>
      <c r="G4" s="3" t="inlineStr">
        <is>
          <t>Propiedad</t>
        </is>
      </c>
      <c r="H4" s="3" t="inlineStr">
        <is>
          <t>Prioridad (tu lista)</t>
        </is>
      </c>
      <c r="I4" s="3" t="inlineStr">
        <is>
          <t>Ingresos (mil €)</t>
        </is>
      </c>
      <c r="J4" s="3" t="inlineStr">
        <is>
          <t>EBITDA (mil €)</t>
        </is>
      </c>
      <c r="K4" s="3" t="inlineStr">
        <is>
          <t>Margen EBITDA</t>
        </is>
      </c>
      <c r="L4" s="3" t="inlineStr">
        <is>
          <t>Clave top 5 (aux.)</t>
        </is>
      </c>
    </row>
    <row r="5">
      <c r="A5" s="4" t="n">
        <v>1</v>
      </c>
      <c r="B5" s="4" t="inlineStr">
        <is>
          <t>2 · Estrategia y consultoría</t>
        </is>
      </c>
      <c r="C5" s="5" t="inlineStr">
        <is>
          <t>SILO – Science &amp; Innovation Link Office</t>
        </is>
      </c>
      <c r="D5" s="4" t="inlineStr">
        <is>
          <t>Madrid</t>
        </is>
      </c>
      <c r="E5" s="4" t="inlineStr">
        <is>
          <t>Consultora de estrategia e innovación; en 2024 integró Ascendo Sanidad &amp; Farma y creó un área de salud y biotecnología para pharma, medtech, biotech y hospitales.</t>
        </is>
      </c>
      <c r="F5" s="4" t="inlineStr">
        <is>
          <t>La mayor de la pata; aporta equipo de consultoría en salud ya formado.</t>
        </is>
      </c>
      <c r="G5" s="4" t="inlineStr">
        <is>
          <t>Socios; sin grupo conocido</t>
        </is>
      </c>
      <c r="H5" s="4" t="inlineStr">
        <is>
          <t>Alta</t>
        </is>
      </c>
      <c r="I5" s="6" t="n">
        <v>8881</v>
      </c>
      <c r="J5" s="6" t="n">
        <v>677</v>
      </c>
      <c r="K5" s="7">
        <f>IFERROR(J5/I5,"n.d.")</f>
        <v/>
      </c>
      <c r="L5" s="8">
        <f>IF(AND(ISNUMBER(J5),J5&gt;0,H5&lt;&gt;"Por verificar"),J5+ROW()/1000000,"")</f>
        <v/>
      </c>
    </row>
    <row r="6">
      <c r="A6" s="4" t="n">
        <v>2</v>
      </c>
      <c r="B6" s="4" t="inlineStr">
        <is>
          <t>2 · Estrategia y consultoría</t>
        </is>
      </c>
      <c r="C6" s="5" t="inlineStr">
        <is>
          <t>Keylates Health Solutions</t>
        </is>
      </c>
      <c r="D6" s="4" t="inlineStr">
        <is>
          <t>Madrid</t>
        </is>
      </c>
      <c r="E6" s="4" t="inlineStr">
        <is>
          <t>Consultoría de gestión (SABI sin detalle); nombre y margen apuntan a consultoría en salud.</t>
        </is>
      </c>
      <c r="F6" s="4" t="inlineStr">
        <is>
          <t>Por verificar.</t>
        </is>
      </c>
      <c r="G6" s="4" t="inlineStr">
        <is>
          <t>n.d.</t>
        </is>
      </c>
      <c r="H6" s="4" t="inlineStr">
        <is>
          <t>Por verificar</t>
        </is>
      </c>
      <c r="I6" s="6" t="n">
        <v>1323</v>
      </c>
      <c r="J6" s="6" t="n">
        <v>695</v>
      </c>
      <c r="K6" s="7">
        <f>IFERROR(J6/I6,"n.d.")</f>
        <v/>
      </c>
      <c r="L6" s="8">
        <f>IF(AND(ISNUMBER(J6),J6&gt;0,H6&lt;&gt;"Por verificar"),J6+ROW()/1000000,"")</f>
        <v/>
      </c>
    </row>
    <row r="7">
      <c r="A7" s="4" t="n">
        <v>3</v>
      </c>
      <c r="B7" s="4" t="inlineStr">
        <is>
          <t>2 · Estrategia y consultoría</t>
        </is>
      </c>
      <c r="C7" s="5" t="inlineStr">
        <is>
          <t>Essentia Health Project</t>
        </is>
      </c>
      <c r="D7" s="4" t="inlineStr">
        <is>
          <t>Cataluña</t>
        </is>
      </c>
      <c r="E7" s="4" t="inlineStr">
        <is>
          <t>Consultoría de organización, formación y gestión de proyectos con software propio (objeto social).</t>
        </is>
      </c>
      <c r="F7" s="4" t="inlineStr">
        <is>
          <t>Consultoría de proyectos en salud; tamaño tuck-in.</t>
        </is>
      </c>
      <c r="G7" s="4" t="inlineStr">
        <is>
          <t>n.d.</t>
        </is>
      </c>
      <c r="H7" s="4" t="inlineStr">
        <is>
          <t>Por verificar</t>
        </is>
      </c>
      <c r="I7" s="6" t="n">
        <v>968</v>
      </c>
      <c r="J7" s="6" t="n">
        <v>345</v>
      </c>
      <c r="K7" s="7">
        <f>IFERROR(J7/I7,"n.d.")</f>
        <v/>
      </c>
      <c r="L7" s="8">
        <f>IF(AND(ISNUMBER(J7),J7&gt;0,H7&lt;&gt;"Por verificar"),J7+ROW()/1000000,"")</f>
        <v/>
      </c>
    </row>
    <row r="8">
      <c r="A8" s="4" t="n">
        <v>4</v>
      </c>
      <c r="B8" s="4" t="inlineStr">
        <is>
          <t>2 · Estrategia y consultoría</t>
        </is>
      </c>
      <c r="C8" s="5" t="inlineStr">
        <is>
          <t>Life Science Praxis</t>
        </is>
      </c>
      <c r="D8" s="4" t="inlineStr">
        <is>
          <t>Cataluña</t>
        </is>
      </c>
      <c r="E8" s="4" t="inlineStr">
        <is>
          <t>Consultoría, estudios de mercado y marketing para biotech y pharma (objeto social).</t>
        </is>
      </c>
      <c r="F8" s="4" t="inlineStr">
        <is>
          <t>Boutique de estrategia comercial para biotech; tuck-in.</t>
        </is>
      </c>
      <c r="G8" s="4" t="inlineStr">
        <is>
          <t>n.d.</t>
        </is>
      </c>
      <c r="H8" s="4" t="inlineStr">
        <is>
          <t>Media</t>
        </is>
      </c>
      <c r="I8" s="6" t="n">
        <v>906</v>
      </c>
      <c r="J8" s="6" t="n">
        <v>172</v>
      </c>
      <c r="K8" s="7">
        <f>IFERROR(J8/I8,"n.d.")</f>
        <v/>
      </c>
      <c r="L8" s="8">
        <f>IF(AND(ISNUMBER(J8),J8&gt;0,H8&lt;&gt;"Por verificar"),J8+ROW()/1000000,"")</f>
        <v/>
      </c>
    </row>
    <row r="9">
      <c r="A9" s="4" t="n">
        <v>5</v>
      </c>
      <c r="B9" s="4" t="inlineStr">
        <is>
          <t>2 · Estrategia y consultoría</t>
        </is>
      </c>
      <c r="C9" s="5" t="inlineStr">
        <is>
          <t>Asserta Global Healthcare Solutions</t>
        </is>
      </c>
      <c r="D9" s="4" t="inlineStr">
        <is>
          <t>Cataluña</t>
        </is>
      </c>
      <c r="E9" s="4" t="inlineStr">
        <is>
          <t>Asesoría estratégica en el sector sanitario y estudios de utilización de recursos (objeto social).</t>
        </is>
      </c>
      <c r="F9" s="4" t="inlineStr">
        <is>
          <t>Consultoría estratégica sanitaria; falta ver cuánto factura a pharma frente a proveedores sanitarios.</t>
        </is>
      </c>
      <c r="G9" s="4" t="inlineStr">
        <is>
          <t>n.d.</t>
        </is>
      </c>
      <c r="H9" s="4" t="inlineStr">
        <is>
          <t>Media</t>
        </is>
      </c>
      <c r="I9" s="6" t="n">
        <v>2254</v>
      </c>
      <c r="J9" s="6" t="n">
        <v>158</v>
      </c>
      <c r="K9" s="7">
        <f>IFERROR(J9/I9,"n.d.")</f>
        <v/>
      </c>
      <c r="L9" s="8">
        <f>IF(AND(ISNUMBER(J9),J9&gt;0,H9&lt;&gt;"Por verificar"),J9+ROW()/1000000,"")</f>
        <v/>
      </c>
    </row>
    <row r="10">
      <c r="A10" s="4" t="n">
        <v>6</v>
      </c>
      <c r="B10" s="4" t="inlineStr">
        <is>
          <t>2 · Estrategia y consultoría</t>
        </is>
      </c>
      <c r="C10" s="5" t="inlineStr">
        <is>
          <t>GOC Health Consulting (Gestió Organització Comunicació SL)</t>
        </is>
      </c>
      <c r="D10" s="4" t="inlineStr">
        <is>
          <t>Cataluña</t>
        </is>
      </c>
      <c r="E10" s="4" t="inlineStr">
        <is>
          <t>Consultora sanitaria con 38 años de trayectoria: investigación científica, estrategia de marketing, gestión clínica y soporte organizativo; ~27 empleados.</t>
        </is>
      </c>
      <c r="F10" s="4" t="inlineStr">
        <is>
          <t>Estrategia y consultoría pharma pura, con brazo de investigación.</t>
        </is>
      </c>
      <c r="G10" s="4" t="inlineStr">
        <is>
          <t>Sin grupo conocido</t>
        </is>
      </c>
      <c r="H10" s="4" t="inlineStr">
        <is>
          <t>Alta</t>
        </is>
      </c>
      <c r="I10" s="6" t="n">
        <v>1952</v>
      </c>
      <c r="J10" s="6" t="n">
        <v>66</v>
      </c>
      <c r="K10" s="7">
        <f>IFERROR(J10/I10,"n.d.")</f>
        <v/>
      </c>
      <c r="L10" s="8">
        <f>IF(AND(ISNUMBER(J10),J10&gt;0,H10&lt;&gt;"Por verificar"),J10+ROW()/1000000,"")</f>
        <v/>
      </c>
    </row>
    <row r="11">
      <c r="A11" s="4" t="n">
        <v>7</v>
      </c>
      <c r="B11" s="4" t="inlineStr">
        <is>
          <t>3 · Evidencia (HEOR y RWE)</t>
        </is>
      </c>
      <c r="C11" s="5" t="inlineStr">
        <is>
          <t>Teamit Institute (+ Teamit Research)</t>
        </is>
      </c>
      <c r="D11" s="4" t="inlineStr">
        <is>
          <t>Cataluña</t>
        </is>
      </c>
      <c r="E11" s="4" t="inlineStr">
        <is>
          <t>Consultoría y formación en ciencias de la salud y gestión de estudios de investigación médica (vacunas); Teamit Research aporta gestión y análisis de datos.</t>
        </is>
      </c>
      <c r="F11" s="4" t="inlineStr">
        <is>
          <t>Estudios y datos; cifra conjunta de las dos sociedades.</t>
        </is>
      </c>
      <c r="G11" s="4" t="inlineStr">
        <is>
          <t>n.d.</t>
        </is>
      </c>
      <c r="H11" s="4" t="inlineStr">
        <is>
          <t>Media</t>
        </is>
      </c>
      <c r="I11" s="6" t="n">
        <v>5000</v>
      </c>
      <c r="J11" s="6" t="n">
        <v>656</v>
      </c>
      <c r="K11" s="7">
        <f>IFERROR(J11/I11,"n.d.")</f>
        <v/>
      </c>
      <c r="L11" s="8">
        <f>IF(AND(ISNUMBER(J11),J11&gt;0,H11&lt;&gt;"Por verificar"),J11+ROW()/1000000,"")</f>
        <v/>
      </c>
    </row>
    <row r="12">
      <c r="A12" s="4" t="n">
        <v>8</v>
      </c>
      <c r="B12" s="4" t="inlineStr">
        <is>
          <t>4 · Acceso y pricing</t>
        </is>
      </c>
      <c r="C12" s="5" t="inlineStr">
        <is>
          <t>Weber Economía y Salud</t>
        </is>
      </c>
      <c r="D12" s="4" t="inlineStr">
        <is>
          <t>Madrid</t>
        </is>
      </c>
      <c r="E12" s="4" t="inlineStr">
        <is>
          <t>HTA, farmacoeconomía, resultados en salud, acceso al mercado, formación y editorial; filiales en LATAM, Portugal y EE. UU.</t>
        </is>
      </c>
      <c r="F12" s="4" t="inlineStr">
        <is>
          <t>La boutique de acceso/HEOR independiente más completa que queda.</t>
        </is>
      </c>
      <c r="G12" s="4" t="inlineStr">
        <is>
          <t>Independiente desde finales de 2024 (salió del Grupo Vivactis)</t>
        </is>
      </c>
      <c r="H12" s="4" t="inlineStr">
        <is>
          <t>Alta</t>
        </is>
      </c>
      <c r="I12" s="6" t="n">
        <v>2682</v>
      </c>
      <c r="J12" s="6" t="n">
        <v>1022</v>
      </c>
      <c r="K12" s="7">
        <f>IFERROR(J12/I12,"n.d.")</f>
        <v/>
      </c>
      <c r="L12" s="8">
        <f>IF(AND(ISNUMBER(J12),J12&gt;0,H12&lt;&gt;"Por verificar"),J12+ROW()/1000000,"")</f>
        <v/>
      </c>
    </row>
    <row r="13">
      <c r="A13" s="4" t="n">
        <v>9</v>
      </c>
      <c r="B13" s="4" t="inlineStr">
        <is>
          <t>4 · Acceso y pricing</t>
        </is>
      </c>
      <c r="C13" s="5" t="inlineStr">
        <is>
          <t>Asuntos Públicos Estrategos</t>
        </is>
      </c>
      <c r="D13" s="4" t="inlineStr">
        <is>
          <t>Madrid</t>
        </is>
      </c>
      <c r="E13" s="4" t="inlineStr">
        <is>
          <t>Asuntos públicos centrados en regulatorio y estrategia.</t>
        </is>
      </c>
      <c r="F13" s="4" t="inlineStr">
        <is>
          <t>Relaciones institucionales, la pata institucional del acceso; no específica de salud.</t>
        </is>
      </c>
      <c r="G13" s="4" t="inlineStr">
        <is>
          <t>n.d.</t>
        </is>
      </c>
      <c r="H13" s="4" t="inlineStr">
        <is>
          <t>Media</t>
        </is>
      </c>
      <c r="I13" s="6" t="n">
        <v>2613</v>
      </c>
      <c r="J13" s="6" t="n">
        <v>502</v>
      </c>
      <c r="K13" s="7">
        <f>IFERROR(J13/I13,"n.d.")</f>
        <v/>
      </c>
      <c r="L13" s="8">
        <f>IF(AND(ISNUMBER(J13),J13&gt;0,H13&lt;&gt;"Por verificar"),J13+ROW()/1000000,"")</f>
        <v/>
      </c>
    </row>
    <row r="14">
      <c r="A14" s="4" t="n">
        <v>10</v>
      </c>
      <c r="B14" s="4" t="inlineStr">
        <is>
          <t>4 · Acceso y pricing</t>
        </is>
      </c>
      <c r="C14" s="5" t="inlineStr">
        <is>
          <t>Levin Consulting</t>
        </is>
      </c>
      <c r="D14" s="4" t="inlineStr">
        <is>
          <t>Madrid</t>
        </is>
      </c>
      <c r="E14" s="4" t="inlineStr">
        <is>
          <t>Asuntos públicos, relaciones institucionales, reputación y comunicación (objeto social).</t>
        </is>
      </c>
      <c r="F14" s="4" t="inlineStr">
        <is>
          <t>Igual que Estrategos; verificar clientes pharma.</t>
        </is>
      </c>
      <c r="G14" s="4" t="inlineStr">
        <is>
          <t>n.d.</t>
        </is>
      </c>
      <c r="H14" s="4" t="inlineStr">
        <is>
          <t>Por verificar</t>
        </is>
      </c>
      <c r="I14" s="6" t="n">
        <v>1549</v>
      </c>
      <c r="J14" s="6" t="n">
        <v>66</v>
      </c>
      <c r="K14" s="7">
        <f>IFERROR(J14/I14,"n.d.")</f>
        <v/>
      </c>
      <c r="L14" s="8">
        <f>IF(AND(ISNUMBER(J14),J14&gt;0,H14&lt;&gt;"Por verificar"),J14+ROW()/1000000,"")</f>
        <v/>
      </c>
    </row>
    <row r="15">
      <c r="A15" s="4" t="n">
        <v>11</v>
      </c>
      <c r="B15" s="4" t="inlineStr">
        <is>
          <t>5 · Comunicación y formación médica</t>
        </is>
      </c>
      <c r="C15" s="5" t="inlineStr">
        <is>
          <t>Doctaforum (Servicios + Medical Marketing)</t>
        </is>
      </c>
      <c r="D15" s="4" t="inlineStr">
        <is>
          <t>Madrid</t>
        </is>
      </c>
      <c r="E15" s="4" t="inlineStr">
        <is>
          <t>Marketing farmacéutico y eventos médicos: congresos, preceptorships, simposios, lanzamientos, medical writing y consultoría médica; cifra conjunta de las dos sociedades.</t>
        </is>
      </c>
      <c r="F15" s="4" t="inlineStr">
        <is>
          <t>Plataforma de eventos y medical marketing.</t>
        </is>
      </c>
      <c r="G15" s="4" t="inlineStr">
        <is>
          <t>Sin grupo conocido; más de 25 años, oficinas en Madrid, Lisboa y Barcelona</t>
        </is>
      </c>
      <c r="H15" s="4" t="inlineStr">
        <is>
          <t>Media</t>
        </is>
      </c>
      <c r="I15" s="6" t="n">
        <v>9693</v>
      </c>
      <c r="J15" s="6" t="n">
        <v>826</v>
      </c>
      <c r="K15" s="7">
        <f>IFERROR(J15/I15,"n.d.")</f>
        <v/>
      </c>
      <c r="L15" s="8">
        <f>IF(AND(ISNUMBER(J15),J15&gt;0,H15&lt;&gt;"Por verificar"),J15+ROW()/1000000,"")</f>
        <v/>
      </c>
    </row>
    <row r="16">
      <c r="A16" s="4" t="n">
        <v>12</v>
      </c>
      <c r="B16" s="4" t="inlineStr">
        <is>
          <t>5 · Comunicación y formación médica</t>
        </is>
      </c>
      <c r="C16" s="5" t="inlineStr">
        <is>
          <t>IMC – International Marketing &amp; Communication</t>
        </is>
      </c>
      <c r="D16" s="4" t="inlineStr">
        <is>
          <t>Madrid</t>
        </is>
      </c>
      <c r="E16" s="4" t="inlineStr">
        <is>
          <t>Editorial médica y agencia: edición, formación, congresos y marketing sanitario; ~15 empleados.</t>
        </is>
      </c>
      <c r="F16" s="4" t="inlineStr">
        <is>
          <t>Comunicación médica independiente.</t>
        </is>
      </c>
      <c r="G16" s="4" t="inlineStr">
        <is>
          <t>Independiente (verificación previa)</t>
        </is>
      </c>
      <c r="H16" s="4" t="inlineStr">
        <is>
          <t>Alta</t>
        </is>
      </c>
      <c r="I16" s="6" t="n">
        <v>4375</v>
      </c>
      <c r="J16" s="6" t="n">
        <v>560</v>
      </c>
      <c r="K16" s="7">
        <f>IFERROR(J16/I16,"n.d.")</f>
        <v/>
      </c>
      <c r="L16" s="8">
        <f>IF(AND(ISNUMBER(J16),J16&gt;0,H16&lt;&gt;"Por verificar"),J16+ROW()/1000000,"")</f>
        <v/>
      </c>
    </row>
    <row r="17">
      <c r="A17" s="4" t="n">
        <v>13</v>
      </c>
      <c r="B17" s="4" t="inlineStr">
        <is>
          <t>5 · Comunicación y formación médica</t>
        </is>
      </c>
      <c r="C17" s="5" t="inlineStr">
        <is>
          <t>Theoria Congresos</t>
        </is>
      </c>
      <c r="D17" s="4" t="inlineStr">
        <is>
          <t>Comunidad Valenciana</t>
        </is>
      </c>
      <c r="E17" s="4" t="inlineStr">
        <is>
          <t>OPC médico con formación online y presencial, gestión de sociedades médicas y edición de publicaciones científicas.</t>
        </is>
      </c>
      <c r="F17" s="4" t="inlineStr">
        <is>
          <t>Formación y relación con sociedades científicas (KOL).</t>
        </is>
      </c>
      <c r="G17" s="4" t="inlineStr">
        <is>
          <t>n.d.</t>
        </is>
      </c>
      <c r="H17" s="4" t="inlineStr">
        <is>
          <t>Media</t>
        </is>
      </c>
      <c r="I17" s="6" t="n">
        <v>5350</v>
      </c>
      <c r="J17" s="6" t="n">
        <v>358</v>
      </c>
      <c r="K17" s="7">
        <f>IFERROR(J17/I17,"n.d.")</f>
        <v/>
      </c>
      <c r="L17" s="8">
        <f>IF(AND(ISNUMBER(J17),J17&gt;0,H17&lt;&gt;"Por verificar"),J17+ROW()/1000000,"")</f>
        <v/>
      </c>
    </row>
    <row r="18">
      <c r="A18" s="4" t="n">
        <v>14</v>
      </c>
      <c r="B18" s="4" t="inlineStr">
        <is>
          <t>5 · Comunicación y formación médica</t>
        </is>
      </c>
      <c r="C18" s="5" t="inlineStr">
        <is>
          <t>Trama Solutions</t>
        </is>
      </c>
      <c r="D18" s="4" t="inlineStr">
        <is>
          <t>Galicia</t>
        </is>
      </c>
      <c r="E18" s="4" t="inlineStr">
        <is>
          <t>OPC y agencia de salud: congresos médicos, formación online, contenidos científicos y comunicación; ~15 empleados.</t>
        </is>
      </c>
      <c r="F18" s="4" t="inlineStr">
        <is>
          <t>Formación y contenido científico.</t>
        </is>
      </c>
      <c r="G18" s="4" t="inlineStr">
        <is>
          <t>n.d.</t>
        </is>
      </c>
      <c r="H18" s="4" t="inlineStr">
        <is>
          <t>Media</t>
        </is>
      </c>
      <c r="I18" s="6" t="n">
        <v>3065</v>
      </c>
      <c r="J18" s="6" t="n">
        <v>254</v>
      </c>
      <c r="K18" s="7">
        <f>IFERROR(J18/I18,"n.d.")</f>
        <v/>
      </c>
      <c r="L18" s="8">
        <f>IF(AND(ISNUMBER(J18),J18&gt;0,H18&lt;&gt;"Por verificar"),J18+ROW()/1000000,"")</f>
        <v/>
      </c>
    </row>
    <row r="19">
      <c r="A19" s="4" t="n">
        <v>15</v>
      </c>
      <c r="B19" s="4" t="inlineStr">
        <is>
          <t>5 · Comunicación y formación médica</t>
        </is>
      </c>
      <c r="C19" s="5" t="inlineStr">
        <is>
          <t>Tactics Medicina y Desarrollo</t>
        </is>
      </c>
      <c r="D19" s="4" t="inlineStr">
        <is>
          <t>Cataluña</t>
        </is>
      </c>
      <c r="E19" s="4" t="inlineStr">
        <is>
          <t>Eventos científicos (SABI).</t>
        </is>
      </c>
      <c r="F19" s="4" t="inlineStr">
        <is>
          <t>Eventos médicos; verificar contenido científico.</t>
        </is>
      </c>
      <c r="G19" s="4" t="inlineStr">
        <is>
          <t>n.d.</t>
        </is>
      </c>
      <c r="H19" s="4" t="inlineStr">
        <is>
          <t>Media</t>
        </is>
      </c>
      <c r="I19" s="6" t="n">
        <v>4969</v>
      </c>
      <c r="J19" s="6" t="n">
        <v>41</v>
      </c>
      <c r="K19" s="7">
        <f>IFERROR(J19/I19,"n.d.")</f>
        <v/>
      </c>
      <c r="L19" s="8">
        <f>IF(AND(ISNUMBER(J19),J19&gt;0,H19&lt;&gt;"Por verificar"),J19+ROW()/1000000,"")</f>
        <v/>
      </c>
    </row>
    <row r="20">
      <c r="C20" s="9" t="inlineStr">
        <is>
          <t>Total 15</t>
        </is>
      </c>
      <c r="I20" s="10">
        <f>SUM(I5:I19)</f>
        <v/>
      </c>
      <c r="J20" s="10">
        <f>SUM(J5:J19)</f>
        <v/>
      </c>
      <c r="K20" s="11">
        <f>IFERROR(J20/I20,"n.d.")</f>
        <v/>
      </c>
    </row>
    <row r="22">
      <c r="B22" s="12" t="inlineStr">
        <is>
          <t>Distribución por pata</t>
        </is>
      </c>
    </row>
    <row r="23">
      <c r="B23" s="13" t="inlineStr">
        <is>
          <t>Pata</t>
        </is>
      </c>
      <c r="C23" s="13" t="inlineStr">
        <is>
          <t>Nº</t>
        </is>
      </c>
      <c r="D23" s="13" t="inlineStr">
        <is>
          <t>Ingresos (mil €)</t>
        </is>
      </c>
      <c r="E23" s="13" t="inlineStr">
        <is>
          <t>EBITDA (mil €)</t>
        </is>
      </c>
    </row>
    <row r="24">
      <c r="B24" s="14" t="inlineStr">
        <is>
          <t>2 · Estrategia y consultoría</t>
        </is>
      </c>
      <c r="C24" s="14">
        <f>COUNTIF($B$5:$B$19,B24)</f>
        <v/>
      </c>
      <c r="D24" s="15">
        <f>SUMIF($B$5:$B$19,B24,$I$5:$I$19)</f>
        <v/>
      </c>
      <c r="E24" s="15">
        <f>SUMIF($B$5:$B$19,B24,$J$5:$J$19)</f>
        <v/>
      </c>
    </row>
    <row r="25">
      <c r="B25" s="14" t="inlineStr">
        <is>
          <t>3 · Evidencia (HEOR y RWE)</t>
        </is>
      </c>
      <c r="C25" s="14">
        <f>COUNTIF($B$5:$B$19,B25)</f>
        <v/>
      </c>
      <c r="D25" s="15">
        <f>SUMIF($B$5:$B$19,B25,$I$5:$I$19)</f>
        <v/>
      </c>
      <c r="E25" s="15">
        <f>SUMIF($B$5:$B$19,B25,$J$5:$J$19)</f>
        <v/>
      </c>
    </row>
    <row r="26">
      <c r="B26" s="14" t="inlineStr">
        <is>
          <t>4 · Acceso y pricing</t>
        </is>
      </c>
      <c r="C26" s="14">
        <f>COUNTIF($B$5:$B$19,B26)</f>
        <v/>
      </c>
      <c r="D26" s="15">
        <f>SUMIF($B$5:$B$19,B26,$I$5:$I$19)</f>
        <v/>
      </c>
      <c r="E26" s="15">
        <f>SUMIF($B$5:$B$19,B26,$J$5:$J$19)</f>
        <v/>
      </c>
    </row>
    <row r="27">
      <c r="B27" s="14" t="inlineStr">
        <is>
          <t>5 · Comunicación y formación médica</t>
        </is>
      </c>
      <c r="C27" s="14">
        <f>COUNTIF($B$5:$B$19,B27)</f>
        <v/>
      </c>
      <c r="D27" s="15">
        <f>SUMIF($B$5:$B$19,B27,$I$5:$I$19)</f>
        <v/>
      </c>
      <c r="E27" s="15">
        <f>SUMIF($B$5:$B$19,B27,$J$5:$J$19)</f>
        <v/>
      </c>
    </row>
    <row r="29">
      <c r="B29" s="16" t="inlineStr">
        <is>
          <t>Nota: la pata 3 queda con una sola empresa porque casi toda la evidencia de tu lista son CROs; la HEOR está en la pata 4 (Weber).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8" customWidth="1" min="3" max="3"/>
    <col width="60" customWidth="1" min="4" max="4"/>
    <col width="13" customWidth="1" min="5" max="5"/>
    <col width="13" customWidth="1" min="6" max="6"/>
    <col width="12" customWidth="1" min="7" max="7"/>
  </cols>
  <sheetData>
    <row r="1">
      <c r="A1" s="1" t="inlineStr">
        <is>
          <t>Tesis A · Top 5 que maximiza el EV (última lámina)</t>
        </is>
      </c>
    </row>
    <row r="2">
      <c r="A2" s="2" t="inlineStr">
        <is>
          <t>Selección automática: las 5 de la lista de 15 con más EBITDA positivo, excluyendo las «Por verificar» de tu lista. Con múltiplo constante, más EBITDA = más EV.</t>
        </is>
      </c>
    </row>
    <row r="4">
      <c r="A4" s="3" t="inlineStr">
        <is>
          <t>#</t>
        </is>
      </c>
      <c r="B4" s="3" t="inlineStr">
        <is>
          <t>Empresa</t>
        </is>
      </c>
      <c r="C4" s="3" t="inlineStr">
        <is>
          <t>Pata</t>
        </is>
      </c>
      <c r="D4" s="3" t="inlineStr">
        <is>
          <t>Qué hace</t>
        </is>
      </c>
      <c r="E4" s="3" t="inlineStr">
        <is>
          <t>Ingresos (mil €)</t>
        </is>
      </c>
      <c r="F4" s="3" t="inlineStr">
        <is>
          <t>EBITDA (mil €)</t>
        </is>
      </c>
      <c r="G4" s="3" t="inlineStr">
        <is>
          <t>Margen EBITDA</t>
        </is>
      </c>
    </row>
    <row r="5">
      <c r="A5" s="4" t="n">
        <v>1</v>
      </c>
      <c r="B5" s="17">
        <f>IFERROR(INDEX('Tesis A · 15 targets'!$C$5:$C$19,MATCH(LARGE('Tesis A · 15 targets'!$L$5:$L$19,1),'Tesis A · 15 targets'!$L$5:$L$19,0)),"—")</f>
        <v/>
      </c>
      <c r="C5" s="18">
        <f>IFERROR(INDEX('Tesis A · 15 targets'!$B$5:$B$19,MATCH(LARGE('Tesis A · 15 targets'!$L$5:$L$19,1),'Tesis A · 15 targets'!$L$5:$L$19,0)),"—")</f>
        <v/>
      </c>
      <c r="D5" s="18">
        <f>IFERROR(INDEX('Tesis A · 15 targets'!$E$5:$E$19,MATCH(LARGE('Tesis A · 15 targets'!$L$5:$L$19,1),'Tesis A · 15 targets'!$L$5:$L$19,0)),"—")</f>
        <v/>
      </c>
      <c r="E5" s="19">
        <f>IFERROR(INDEX('Tesis A · 15 targets'!$I$5:$I$19,MATCH(LARGE('Tesis A · 15 targets'!$L$5:$L$19,1),'Tesis A · 15 targets'!$L$5:$L$19,0)),"—")</f>
        <v/>
      </c>
      <c r="F5" s="19">
        <f>IFERROR(INDEX('Tesis A · 15 targets'!$J$5:$J$19,MATCH(LARGE('Tesis A · 15 targets'!$L$5:$L$19,1),'Tesis A · 15 targets'!$L$5:$L$19,0)),"—")</f>
        <v/>
      </c>
      <c r="G5" s="20">
        <f>IFERROR(F5/E5,"n.d.")</f>
        <v/>
      </c>
    </row>
    <row r="6">
      <c r="A6" s="4" t="n">
        <v>2</v>
      </c>
      <c r="B6" s="17">
        <f>IFERROR(INDEX('Tesis A · 15 targets'!$C$5:$C$19,MATCH(LARGE('Tesis A · 15 targets'!$L$5:$L$19,2),'Tesis A · 15 targets'!$L$5:$L$19,0)),"—")</f>
        <v/>
      </c>
      <c r="C6" s="18">
        <f>IFERROR(INDEX('Tesis A · 15 targets'!$B$5:$B$19,MATCH(LARGE('Tesis A · 15 targets'!$L$5:$L$19,2),'Tesis A · 15 targets'!$L$5:$L$19,0)),"—")</f>
        <v/>
      </c>
      <c r="D6" s="18">
        <f>IFERROR(INDEX('Tesis A · 15 targets'!$E$5:$E$19,MATCH(LARGE('Tesis A · 15 targets'!$L$5:$L$19,2),'Tesis A · 15 targets'!$L$5:$L$19,0)),"—")</f>
        <v/>
      </c>
      <c r="E6" s="19">
        <f>IFERROR(INDEX('Tesis A · 15 targets'!$I$5:$I$19,MATCH(LARGE('Tesis A · 15 targets'!$L$5:$L$19,2),'Tesis A · 15 targets'!$L$5:$L$19,0)),"—")</f>
        <v/>
      </c>
      <c r="F6" s="19">
        <f>IFERROR(INDEX('Tesis A · 15 targets'!$J$5:$J$19,MATCH(LARGE('Tesis A · 15 targets'!$L$5:$L$19,2),'Tesis A · 15 targets'!$L$5:$L$19,0)),"—")</f>
        <v/>
      </c>
      <c r="G6" s="20">
        <f>IFERROR(F6/E6,"n.d.")</f>
        <v/>
      </c>
    </row>
    <row r="7">
      <c r="A7" s="4" t="n">
        <v>3</v>
      </c>
      <c r="B7" s="17">
        <f>IFERROR(INDEX('Tesis A · 15 targets'!$C$5:$C$19,MATCH(LARGE('Tesis A · 15 targets'!$L$5:$L$19,3),'Tesis A · 15 targets'!$L$5:$L$19,0)),"—")</f>
        <v/>
      </c>
      <c r="C7" s="18">
        <f>IFERROR(INDEX('Tesis A · 15 targets'!$B$5:$B$19,MATCH(LARGE('Tesis A · 15 targets'!$L$5:$L$19,3),'Tesis A · 15 targets'!$L$5:$L$19,0)),"—")</f>
        <v/>
      </c>
      <c r="D7" s="18">
        <f>IFERROR(INDEX('Tesis A · 15 targets'!$E$5:$E$19,MATCH(LARGE('Tesis A · 15 targets'!$L$5:$L$19,3),'Tesis A · 15 targets'!$L$5:$L$19,0)),"—")</f>
        <v/>
      </c>
      <c r="E7" s="19">
        <f>IFERROR(INDEX('Tesis A · 15 targets'!$I$5:$I$19,MATCH(LARGE('Tesis A · 15 targets'!$L$5:$L$19,3),'Tesis A · 15 targets'!$L$5:$L$19,0)),"—")</f>
        <v/>
      </c>
      <c r="F7" s="19">
        <f>IFERROR(INDEX('Tesis A · 15 targets'!$J$5:$J$19,MATCH(LARGE('Tesis A · 15 targets'!$L$5:$L$19,3),'Tesis A · 15 targets'!$L$5:$L$19,0)),"—")</f>
        <v/>
      </c>
      <c r="G7" s="20">
        <f>IFERROR(F7/E7,"n.d.")</f>
        <v/>
      </c>
    </row>
    <row r="8">
      <c r="A8" s="4" t="n">
        <v>4</v>
      </c>
      <c r="B8" s="17">
        <f>IFERROR(INDEX('Tesis A · 15 targets'!$C$5:$C$19,MATCH(LARGE('Tesis A · 15 targets'!$L$5:$L$19,4),'Tesis A · 15 targets'!$L$5:$L$19,0)),"—")</f>
        <v/>
      </c>
      <c r="C8" s="18">
        <f>IFERROR(INDEX('Tesis A · 15 targets'!$B$5:$B$19,MATCH(LARGE('Tesis A · 15 targets'!$L$5:$L$19,4),'Tesis A · 15 targets'!$L$5:$L$19,0)),"—")</f>
        <v/>
      </c>
      <c r="D8" s="18">
        <f>IFERROR(INDEX('Tesis A · 15 targets'!$E$5:$E$19,MATCH(LARGE('Tesis A · 15 targets'!$L$5:$L$19,4),'Tesis A · 15 targets'!$L$5:$L$19,0)),"—")</f>
        <v/>
      </c>
      <c r="E8" s="19">
        <f>IFERROR(INDEX('Tesis A · 15 targets'!$I$5:$I$19,MATCH(LARGE('Tesis A · 15 targets'!$L$5:$L$19,4),'Tesis A · 15 targets'!$L$5:$L$19,0)),"—")</f>
        <v/>
      </c>
      <c r="F8" s="19">
        <f>IFERROR(INDEX('Tesis A · 15 targets'!$J$5:$J$19,MATCH(LARGE('Tesis A · 15 targets'!$L$5:$L$19,4),'Tesis A · 15 targets'!$L$5:$L$19,0)),"—")</f>
        <v/>
      </c>
      <c r="G8" s="20">
        <f>IFERROR(F8/E8,"n.d.")</f>
        <v/>
      </c>
    </row>
    <row r="9">
      <c r="A9" s="4" t="n">
        <v>5</v>
      </c>
      <c r="B9" s="17">
        <f>IFERROR(INDEX('Tesis A · 15 targets'!$C$5:$C$19,MATCH(LARGE('Tesis A · 15 targets'!$L$5:$L$19,5),'Tesis A · 15 targets'!$L$5:$L$19,0)),"—")</f>
        <v/>
      </c>
      <c r="C9" s="18">
        <f>IFERROR(INDEX('Tesis A · 15 targets'!$B$5:$B$19,MATCH(LARGE('Tesis A · 15 targets'!$L$5:$L$19,5),'Tesis A · 15 targets'!$L$5:$L$19,0)),"—")</f>
        <v/>
      </c>
      <c r="D9" s="18">
        <f>IFERROR(INDEX('Tesis A · 15 targets'!$E$5:$E$19,MATCH(LARGE('Tesis A · 15 targets'!$L$5:$L$19,5),'Tesis A · 15 targets'!$L$5:$L$19,0)),"—")</f>
        <v/>
      </c>
      <c r="E9" s="19">
        <f>IFERROR(INDEX('Tesis A · 15 targets'!$I$5:$I$19,MATCH(LARGE('Tesis A · 15 targets'!$L$5:$L$19,5),'Tesis A · 15 targets'!$L$5:$L$19,0)),"—")</f>
        <v/>
      </c>
      <c r="F9" s="19">
        <f>IFERROR(INDEX('Tesis A · 15 targets'!$J$5:$J$19,MATCH(LARGE('Tesis A · 15 targets'!$L$5:$L$19,5),'Tesis A · 15 targets'!$L$5:$L$19,0)),"—")</f>
        <v/>
      </c>
      <c r="G9" s="20">
        <f>IFERROR(F9/E9,"n.d.")</f>
        <v/>
      </c>
    </row>
    <row r="11">
      <c r="B11" s="21" t="inlineStr">
        <is>
          <t>Total 5 adquisiciones</t>
        </is>
      </c>
      <c r="E11" s="22">
        <f>SUM(E5:E9)</f>
        <v/>
      </c>
      <c r="F11" s="22">
        <f>SUM(F5:F9)</f>
        <v/>
      </c>
      <c r="G11" s="23">
        <f>IFERROR(F11/E11,"n.d.")</f>
        <v/>
      </c>
    </row>
    <row r="12">
      <c r="B12" s="21" t="inlineStr">
        <is>
          <t>Psyma Ibérica hoy (SABI 2024)</t>
        </is>
      </c>
      <c r="E12" s="24" t="n">
        <v>3789</v>
      </c>
      <c r="F12" s="24" t="n">
        <v>39</v>
      </c>
      <c r="G12" s="23">
        <f>IFERROR(F12/E12,"n.d.")</f>
        <v/>
      </c>
    </row>
    <row r="13">
      <c r="B13" s="21" t="inlineStr">
        <is>
          <t>Psyma + 5 targets (proforma)</t>
        </is>
      </c>
      <c r="E13" s="22">
        <f>E11+E12</f>
        <v/>
      </c>
      <c r="F13" s="22">
        <f>F11+F12</f>
        <v/>
      </c>
      <c r="G13" s="23">
        <f>IFERROR(F13/E13,"n.d.")</f>
        <v/>
      </c>
    </row>
    <row r="15">
      <c r="B15" s="16" t="inlineStr">
        <is>
          <t>Keylates Health Solutions (EBITDA 695) entraría en el top 5 si se verifica: hoy está «Por verificar» en tu lista.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13" customWidth="1" min="3" max="3"/>
    <col width="13" customWidth="1" min="4" max="4"/>
    <col width="60" customWidth="1" min="5" max="5"/>
  </cols>
  <sheetData>
    <row r="1">
      <c r="A1" s="25" t="inlineStr">
        <is>
          <t>Empresas de tu lista que no entran en las 15</t>
        </is>
      </c>
    </row>
    <row r="3">
      <c r="A3" s="13" t="inlineStr">
        <is>
          <t>Empresa</t>
        </is>
      </c>
      <c r="B3" s="13" t="inlineStr">
        <is>
          <t>Pata</t>
        </is>
      </c>
      <c r="C3" s="13" t="inlineStr">
        <is>
          <t>Ingresos (mil €)</t>
        </is>
      </c>
      <c r="D3" s="13" t="inlineStr">
        <is>
          <t>EBITDA (mil €)</t>
        </is>
      </c>
      <c r="E3" s="13" t="inlineStr">
        <is>
          <t>Motivo</t>
        </is>
      </c>
    </row>
    <row r="4">
      <c r="A4" s="8" t="inlineStr">
        <is>
          <t>Adknoma Health Research</t>
        </is>
      </c>
      <c r="B4" s="8" t="inlineStr">
        <is>
          <t>3 · Evidencia (HEOR y RWE)</t>
        </is>
      </c>
      <c r="C4" s="26" t="n">
        <v>4795</v>
      </c>
      <c r="D4" s="26" t="n">
        <v>61</v>
      </c>
      <c r="E4" s="8" t="inlineStr">
        <is>
          <t>CRO: excluida por criterio</t>
        </is>
      </c>
    </row>
    <row r="5">
      <c r="A5" s="8" t="inlineStr">
        <is>
          <t>Ápices Soluciones</t>
        </is>
      </c>
      <c r="B5" s="8" t="inlineStr">
        <is>
          <t>3 · Evidencia (HEOR y RWE)</t>
        </is>
      </c>
      <c r="C5" s="26" t="n">
        <v>7872</v>
      </c>
      <c r="D5" s="26" t="n">
        <v>3730</v>
      </c>
      <c r="E5" s="8" t="inlineStr">
        <is>
          <t>CRO: excluida por criterio</t>
        </is>
      </c>
    </row>
    <row r="6">
      <c r="A6" s="8" t="inlineStr">
        <is>
          <t>León Research</t>
        </is>
      </c>
      <c r="B6" s="8" t="inlineStr">
        <is>
          <t>3 · Evidencia (HEOR y RWE)</t>
        </is>
      </c>
      <c r="C6" s="26" t="n">
        <v>3856</v>
      </c>
      <c r="D6" s="26" t="n">
        <v>90</v>
      </c>
      <c r="E6" s="8" t="inlineStr">
        <is>
          <t>CRO: excluida por criterio</t>
        </is>
      </c>
    </row>
    <row r="7">
      <c r="A7" s="8" t="inlineStr">
        <is>
          <t>mfar – Marketing Farmacéutico &amp; Investigación Clínica</t>
        </is>
      </c>
      <c r="B7" s="8" t="inlineStr">
        <is>
          <t>3 · Evidencia (HEOR y RWE)</t>
        </is>
      </c>
      <c r="C7" s="26" t="n">
        <v>3497</v>
      </c>
      <c r="D7" s="26" t="n">
        <v>133</v>
      </c>
      <c r="E7" s="8" t="inlineStr">
        <is>
          <t>CRO: excluida por criterio</t>
        </is>
      </c>
    </row>
    <row r="8">
      <c r="A8" s="8" t="inlineStr">
        <is>
          <t>Sermes CRO (Ser-Mes Consulting)</t>
        </is>
      </c>
      <c r="B8" s="8" t="inlineStr">
        <is>
          <t>3 · Evidencia (HEOR y RWE)</t>
        </is>
      </c>
      <c r="C8" s="26" t="n">
        <v>2453</v>
      </c>
      <c r="D8" s="26" t="n">
        <v>296</v>
      </c>
      <c r="E8" s="8" t="inlineStr">
        <is>
          <t>CRO: excluida por criterio</t>
        </is>
      </c>
    </row>
    <row r="9">
      <c r="A9" s="8" t="inlineStr">
        <is>
          <t>Sofpromed</t>
        </is>
      </c>
      <c r="B9" s="8" t="inlineStr">
        <is>
          <t>3 · Evidencia (HEOR y RWE)</t>
        </is>
      </c>
      <c r="C9" s="26" t="n">
        <v>2754</v>
      </c>
      <c r="D9" s="26" t="n">
        <v>143</v>
      </c>
      <c r="E9" s="8" t="inlineStr">
        <is>
          <t>CRO: excluida por criterio</t>
        </is>
      </c>
    </row>
    <row r="10">
      <c r="A10" s="8" t="inlineStr">
        <is>
          <t>Savana Research</t>
        </is>
      </c>
      <c r="B10" s="8" t="inlineStr">
        <is>
          <t>3 · Evidencia (HEOR y RWE)</t>
        </is>
      </c>
      <c r="C10" s="26" t="n">
        <v>2743</v>
      </c>
      <c r="D10" s="26" t="n">
        <v>-404</v>
      </c>
      <c r="E10" s="8" t="inlineStr">
        <is>
          <t>Participada por VC y EBITDA negativo</t>
        </is>
      </c>
    </row>
    <row r="11">
      <c r="A11" s="8" t="inlineStr">
        <is>
          <t>PORIB</t>
        </is>
      </c>
      <c r="B11" s="8" t="inlineStr">
        <is>
          <t>4 · Acceso y pricing</t>
        </is>
      </c>
      <c r="C11" s="26" t="n">
        <v>1346</v>
      </c>
      <c r="D11" s="26" t="n">
        <v>152</v>
      </c>
      <c r="E11" s="8" t="inlineStr">
        <is>
          <t>Integrada en Accessus Health / athagoras: no independiente</t>
        </is>
      </c>
    </row>
    <row r="12">
      <c r="A12" s="8" t="inlineStr">
        <is>
          <t>Political Intelligence</t>
        </is>
      </c>
      <c r="B12" s="8" t="inlineStr">
        <is>
          <t>4 · Acceso y pricing</t>
        </is>
      </c>
      <c r="C12" s="26" t="n">
        <v>1983</v>
      </c>
      <c r="D12" s="26" t="n">
        <v>443</v>
      </c>
      <c r="E12" s="8" t="inlineStr">
        <is>
          <t>Oficina de una red internacional: no independiente</t>
        </is>
      </c>
    </row>
    <row r="13">
      <c r="A13" s="8" t="inlineStr">
        <is>
          <t>Berbés Asociados</t>
        </is>
      </c>
      <c r="B13" s="8" t="inlineStr">
        <is>
          <t>5 · Comunicación y formación médica</t>
        </is>
      </c>
      <c r="C13" s="26" t="n">
        <v>1573</v>
      </c>
      <c r="D13" s="26" t="n">
        <v>-117</v>
      </c>
      <c r="E13" s="8" t="inlineStr">
        <is>
          <t>EBITDA negativo</t>
        </is>
      </c>
    </row>
    <row r="14">
      <c r="A14" s="8" t="inlineStr">
        <is>
          <t>Pharma Talents</t>
        </is>
      </c>
      <c r="B14" s="8" t="inlineStr">
        <is>
          <t>2 · Estrategia y consultoría</t>
        </is>
      </c>
      <c r="C14" s="26" t="n">
        <v>4741</v>
      </c>
      <c r="D14" s="26" t="n">
        <v>3053</v>
      </c>
      <c r="E14" s="8" t="inlineStr">
        <is>
          <t>Por verificar: actividad incierta (marketing / IT) y margen atípico</t>
        </is>
      </c>
    </row>
    <row r="15">
      <c r="A15" s="8" t="inlineStr">
        <is>
          <t>FGI Life Sciences</t>
        </is>
      </c>
      <c r="B15" s="8" t="inlineStr">
        <is>
          <t>2 · Estrategia y consultoría</t>
        </is>
      </c>
      <c r="C15" s="26" t="n">
        <v>4887</v>
      </c>
      <c r="D15" s="26" t="n">
        <v>974</v>
      </c>
      <c r="E15" s="8" t="inlineStr">
        <is>
          <t>Por verificar: puede ser sociedad de gestión de un grupo</t>
        </is>
      </c>
    </row>
    <row r="16">
      <c r="A16" s="8" t="inlineStr">
        <is>
          <t>Adospharma</t>
        </is>
      </c>
      <c r="B16" s="8" t="inlineStr">
        <is>
          <t>2 · Estrategia y consultoría</t>
        </is>
      </c>
      <c r="C16" s="26" t="n">
        <v>2136</v>
      </c>
      <c r="D16" s="26" t="n">
        <v>55</v>
      </c>
      <c r="E16" s="8" t="inlineStr">
        <is>
          <t>Por verificar: consultora o fuerza de ventas</t>
        </is>
      </c>
    </row>
    <row r="17">
      <c r="A17" s="8" t="inlineStr">
        <is>
          <t>Ampersand Integral Projects</t>
        </is>
      </c>
      <c r="B17" s="8" t="inlineStr">
        <is>
          <t>2 · Estrategia y consultoría</t>
        </is>
      </c>
      <c r="C17" s="26" t="n">
        <v>1440</v>
      </c>
      <c r="D17" s="26" t="n">
        <v>70</v>
      </c>
      <c r="E17" s="8" t="inlineStr">
        <is>
          <t>Por verificar; menor encaje que las seleccionadas</t>
        </is>
      </c>
    </row>
    <row r="18">
      <c r="A18" s="8" t="inlineStr">
        <is>
          <t>RPP Public Affairs España</t>
        </is>
      </c>
      <c r="B18" s="8" t="inlineStr">
        <is>
          <t>4 · Acceso y pricing</t>
        </is>
      </c>
      <c r="C18" s="26" t="n">
        <v>1125</v>
      </c>
      <c r="D18" s="26" t="n">
        <v>30</v>
      </c>
      <c r="E18" s="8" t="inlineStr">
        <is>
          <t>Por verificar; EBITDA marginal</t>
        </is>
      </c>
    </row>
    <row r="19">
      <c r="A19" s="8" t="inlineStr">
        <is>
          <t>Beon Healthcare</t>
        </is>
      </c>
      <c r="B19" s="8" t="inlineStr">
        <is>
          <t>4 · Acceso y pricing</t>
        </is>
      </c>
      <c r="C19" s="26" t="n">
        <v>969</v>
      </c>
      <c r="D19" s="26" t="n">
        <v>20</v>
      </c>
      <c r="E19" s="8" t="inlineStr">
        <is>
          <t>Por verificar; objeto social genérico</t>
        </is>
      </c>
    </row>
    <row r="20">
      <c r="A20" s="8" t="inlineStr">
        <is>
          <t>MeetingPharma Group</t>
        </is>
      </c>
      <c r="B20" s="8" t="inlineStr">
        <is>
          <t>5 · Comunicación y formación médica</t>
        </is>
      </c>
      <c r="C20" s="26" t="n">
        <v>1702</v>
      </c>
      <c r="D20" s="26" t="n">
        <v>16</v>
      </c>
      <c r="E20" s="8" t="inlineStr">
        <is>
          <t>Por verificar; EBITDA marginal</t>
        </is>
      </c>
    </row>
    <row r="21">
      <c r="A21" s="8" t="inlineStr">
        <is>
          <t>Axentiva Solutions</t>
        </is>
      </c>
      <c r="B21" s="8" t="inlineStr">
        <is>
          <t>4 · Acceso y pricing</t>
        </is>
      </c>
      <c r="C21" s="26" t="inlineStr">
        <is>
          <t>n.d.</t>
        </is>
      </c>
      <c r="D21" s="26" t="inlineStr">
        <is>
          <t>n.d.</t>
        </is>
      </c>
      <c r="E21" s="8" t="inlineStr">
        <is>
          <t>Sin cifras SABI (n.d.)</t>
        </is>
      </c>
    </row>
    <row r="22">
      <c r="A22" s="8" t="inlineStr">
        <is>
          <t>Luzán 5 Health Consulting</t>
        </is>
      </c>
      <c r="B22" s="8" t="inlineStr">
        <is>
          <t>5 · Comunicación y formación médica</t>
        </is>
      </c>
      <c r="C22" s="26" t="inlineStr">
        <is>
          <t>n.d.</t>
        </is>
      </c>
      <c r="D22" s="26" t="inlineStr">
        <is>
          <t>n.d.</t>
        </is>
      </c>
      <c r="E22" s="8" t="inlineStr">
        <is>
          <t>Sin cifras SABI (n.d.)</t>
        </is>
      </c>
    </row>
    <row r="23">
      <c r="A23" s="8" t="inlineStr">
        <is>
          <t>Esmon Publicidad</t>
        </is>
      </c>
      <c r="B23" s="8" t="inlineStr">
        <is>
          <t>5 · Comunicación y formación médica</t>
        </is>
      </c>
      <c r="C23" s="26" t="inlineStr">
        <is>
          <t>n.d.</t>
        </is>
      </c>
      <c r="D23" s="26" t="inlineStr">
        <is>
          <t>n.d.</t>
        </is>
      </c>
      <c r="E23" s="8" t="inlineStr">
        <is>
          <t>Sin cifras SABI (n.d.)</t>
        </is>
      </c>
    </row>
    <row r="24">
      <c r="A24" s="8" t="inlineStr">
        <is>
          <t>You &amp; Us</t>
        </is>
      </c>
      <c r="B24" s="8" t="inlineStr">
        <is>
          <t>5 · Comunicación y formación médica</t>
        </is>
      </c>
      <c r="C24" s="26" t="inlineStr">
        <is>
          <t>n.d.</t>
        </is>
      </c>
      <c r="D24" s="26" t="inlineStr">
        <is>
          <t>n.d.</t>
        </is>
      </c>
      <c r="E24" s="8" t="inlineStr">
        <is>
          <t>Sin cifras SABI (n.d.)</t>
        </is>
      </c>
    </row>
    <row r="25">
      <c r="A25" s="8" t="inlineStr">
        <is>
          <t>MSC – Medical Science Consulting</t>
        </is>
      </c>
      <c r="B25" s="8" t="inlineStr">
        <is>
          <t>3 · Evidencia (HEOR y RWE)</t>
        </is>
      </c>
      <c r="C25" s="26" t="inlineStr">
        <is>
          <t>n.d.</t>
        </is>
      </c>
      <c r="D25" s="26" t="inlineStr">
        <is>
          <t>n.d.</t>
        </is>
      </c>
      <c r="E25" s="8" t="inlineStr">
        <is>
          <t>Sin cifras SABI (n.d.)</t>
        </is>
      </c>
    </row>
    <row r="26">
      <c r="A26" s="8" t="inlineStr">
        <is>
          <t>Telomera</t>
        </is>
      </c>
      <c r="B26" s="8" t="inlineStr">
        <is>
          <t>3 · Evidencia (HEOR y RWE)</t>
        </is>
      </c>
      <c r="C26" s="26" t="inlineStr">
        <is>
          <t>n.d.</t>
        </is>
      </c>
      <c r="D26" s="26" t="inlineStr">
        <is>
          <t>n.d.</t>
        </is>
      </c>
      <c r="E26" s="8" t="inlineStr">
        <is>
          <t>Sin cifras SABI (n.d.)</t>
        </is>
      </c>
    </row>
    <row r="27">
      <c r="A27" s="8" t="inlineStr">
        <is>
          <t>Acento Public Affairs</t>
        </is>
      </c>
      <c r="B27" s="8" t="inlineStr">
        <is>
          <t>4 · Acceso y pricing</t>
        </is>
      </c>
      <c r="C27" s="26" t="inlineStr">
        <is>
          <t>n.d.</t>
        </is>
      </c>
      <c r="D27" s="26" t="inlineStr">
        <is>
          <t>n.d.</t>
        </is>
      </c>
      <c r="E27" s="8" t="inlineStr">
        <is>
          <t>Sin cifras SABI (n.d.)</t>
        </is>
      </c>
    </row>
    <row r="28">
      <c r="A28" s="8" t="inlineStr">
        <is>
          <t>Nitid</t>
        </is>
      </c>
      <c r="B28" s="8" t="inlineStr">
        <is>
          <t>4 · Acceso y pricing</t>
        </is>
      </c>
      <c r="C28" s="26" t="inlineStr">
        <is>
          <t>n.d.</t>
        </is>
      </c>
      <c r="D28" s="26" t="inlineStr">
        <is>
          <t>n.d.</t>
        </is>
      </c>
      <c r="E28" s="8" t="inlineStr">
        <is>
          <t>Sin cifras SABI (n.d.)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2026-09-28T17:47:11Z</dcterms:created>
  <dcterms:modified xsi:type="dcterms:W3CDTF">2026-09-28T17:47:11Z</dcterms:modified>
</cp:coreProperties>
</file>